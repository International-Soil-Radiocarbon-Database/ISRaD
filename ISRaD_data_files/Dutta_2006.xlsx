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f003833/Documents/GitHub/ISRaD/ISRaD_data_files/"/>
    </mc:Choice>
  </mc:AlternateContent>
  <xr:revisionPtr revIDLastSave="0" documentId="13_ncr:1_{B753D228-6B78-1C4B-AC7E-13A10F2BE5DB}" xr6:coauthVersionLast="47" xr6:coauthVersionMax="47" xr10:uidLastSave="{00000000-0000-0000-0000-000000000000}"/>
  <bookViews>
    <workbookView xWindow="1800" yWindow="760" windowWidth="25360" windowHeight="15820" tabRatio="645" activeTab="6" xr2:uid="{00000000-000D-0000-FFFF-FFFF00000000}"/>
  </bookViews>
  <sheets>
    <sheet name="metadata" sheetId="1" r:id="rId1"/>
    <sheet name="site" sheetId="2" r:id="rId2"/>
    <sheet name="profile" sheetId="3" r:id="rId3"/>
    <sheet name="flux" sheetId="8" r:id="rId4"/>
    <sheet name="layer" sheetId="4" r:id="rId5"/>
    <sheet name="interstitial" sheetId="9" r:id="rId6"/>
    <sheet name="fraction" sheetId="5" r:id="rId7"/>
    <sheet name="incubation" sheetId="7" r:id="rId8"/>
    <sheet name="controlled vocabulary" sheetId="6" r:id="rId9"/>
  </sheets>
  <definedNames>
    <definedName name="dataset_name">OFFSET(metadata!$A$1,3,0,COUNTA(metadata!$A:$A)-1,1)</definedName>
    <definedName name="i_moisture_type">'controlled vocabulary'!$AN$4:$AN$6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" i="7" l="1"/>
  <c r="F6" i="7"/>
  <c r="F7" i="7"/>
  <c r="F8" i="7"/>
  <c r="F9" i="7"/>
  <c r="F4" i="7"/>
  <c r="M3" i="6"/>
  <c r="L3" i="6"/>
  <c r="K3" i="6"/>
</calcChain>
</file>

<file path=xl/sharedStrings.xml><?xml version="1.0" encoding="utf-8"?>
<sst xmlns="http://schemas.openxmlformats.org/spreadsheetml/2006/main" count="1678" uniqueCount="930">
  <si>
    <t>curator_name</t>
  </si>
  <si>
    <t>curator_organization</t>
  </si>
  <si>
    <t>curator_email</t>
  </si>
  <si>
    <t>contact_name</t>
  </si>
  <si>
    <t>contact_email</t>
  </si>
  <si>
    <t>contact_orcid_id</t>
  </si>
  <si>
    <t>Curator Name</t>
  </si>
  <si>
    <t>Curator Organization</t>
  </si>
  <si>
    <t>Curator Email</t>
  </si>
  <si>
    <t>Additional Contact Name</t>
  </si>
  <si>
    <t>Additional Contact Email</t>
  </si>
  <si>
    <t>Contact ORCID ID Number</t>
  </si>
  <si>
    <t>Bibliographical Reference</t>
  </si>
  <si>
    <t>Author(s), Year, Article Title, Journal Title, Volume, Page Numbers</t>
  </si>
  <si>
    <t>site_name</t>
  </si>
  <si>
    <t>site_note</t>
  </si>
  <si>
    <t>Site Name</t>
  </si>
  <si>
    <t>Latitude</t>
  </si>
  <si>
    <t>Longitude</t>
  </si>
  <si>
    <t>Latitude/Longitude Datum</t>
  </si>
  <si>
    <t>Site Notes</t>
  </si>
  <si>
    <t>Elevation</t>
  </si>
  <si>
    <t>Site Aspect</t>
  </si>
  <si>
    <t>Site Aspect Class</t>
  </si>
  <si>
    <t>Slope</t>
  </si>
  <si>
    <t>Slope Shape</t>
  </si>
  <si>
    <t>Drainage Class</t>
  </si>
  <si>
    <t>Depth to Water Table</t>
  </si>
  <si>
    <t>NRCS Fieldbook Categories</t>
  </si>
  <si>
    <t>General Parent Material Chemistry</t>
  </si>
  <si>
    <t>Land Cover Category</t>
  </si>
  <si>
    <t>dec. deg</t>
  </si>
  <si>
    <t>(lat/long datum)</t>
  </si>
  <si>
    <t>m</t>
  </si>
  <si>
    <t>mm</t>
  </si>
  <si>
    <t>degree</t>
  </si>
  <si>
    <t>(direction)</t>
  </si>
  <si>
    <t>%</t>
  </si>
  <si>
    <t>(shape)</t>
  </si>
  <si>
    <t>(drainage_class)</t>
  </si>
  <si>
    <t>cm</t>
  </si>
  <si>
    <t>(parent_material)</t>
  </si>
  <si>
    <t>(parent_chem)</t>
  </si>
  <si>
    <t>species names</t>
  </si>
  <si>
    <t>(land_cover)</t>
  </si>
  <si>
    <t>g cm-2</t>
  </si>
  <si>
    <t>Profile Notes</t>
  </si>
  <si>
    <t>Profile Vegetation</t>
  </si>
  <si>
    <t>2D Position</t>
  </si>
  <si>
    <t>Depth to Bedrock</t>
  </si>
  <si>
    <t>Thaw Depth</t>
  </si>
  <si>
    <t>Reported Profile Soil Organic Carbon Stock</t>
  </si>
  <si>
    <t>Reported Profile Soil Organic Carbon Stock Standard Deviation</t>
  </si>
  <si>
    <t>Reported Profile Soil Organic Carbon Stock Depth</t>
  </si>
  <si>
    <t>(2d_position)</t>
  </si>
  <si>
    <t>rc_lab</t>
  </si>
  <si>
    <t>Layer Name</t>
  </si>
  <si>
    <t>Layer Top</t>
  </si>
  <si>
    <t>Layer Bottom</t>
  </si>
  <si>
    <t xml:space="preserve">Horizon </t>
  </si>
  <si>
    <t>Soil Layer or Horizon Notes</t>
  </si>
  <si>
    <t>Moist Munsell Color</t>
  </si>
  <si>
    <t>Evidence of Burning</t>
  </si>
  <si>
    <t>Bulk Density, Coarse Fragments Removed</t>
  </si>
  <si>
    <t>Bulk Density With Coarse Fragments</t>
  </si>
  <si>
    <t>Bulk Density Method or Other Notes</t>
  </si>
  <si>
    <t>Soil pH CaCl2</t>
  </si>
  <si>
    <t>Soil pH 1:1</t>
  </si>
  <si>
    <t>Percent Sand</t>
  </si>
  <si>
    <t>Percent Silt</t>
  </si>
  <si>
    <t>Percent Clay</t>
  </si>
  <si>
    <t>Coarse Fraction</t>
  </si>
  <si>
    <t>Coarse Fraction Size Threshold Used</t>
  </si>
  <si>
    <t>Texture Class</t>
  </si>
  <si>
    <t xml:space="preserve">Cation Exchange </t>
  </si>
  <si>
    <t>Sum of Bases</t>
  </si>
  <si>
    <t>Sum of Cation Exchange Capacity</t>
  </si>
  <si>
    <t>Effective Cation Exchange Capacity</t>
  </si>
  <si>
    <t>% Base Saturation</t>
  </si>
  <si>
    <t>Bulk Layer Reported Soil Organic Carbon Stock</t>
  </si>
  <si>
    <t>Bulk Layer Reported Soil Organic Carbon Stock Standard Deviation</t>
  </si>
  <si>
    <t>Bulk Layer Total Nitrogen</t>
  </si>
  <si>
    <t>Bulk Layer C:N</t>
  </si>
  <si>
    <t>Bulk Layer Loss on Ignition</t>
  </si>
  <si>
    <t>Bulk Layer δ15N</t>
  </si>
  <si>
    <t>Bulk Layer δ13C</t>
  </si>
  <si>
    <t>Radiocarbon Laboratory ID</t>
  </si>
  <si>
    <t>Radiocarbon Laboratory Sample Number</t>
  </si>
  <si>
    <t>Radiocarbon Analysis Year</t>
  </si>
  <si>
    <t>Bulk Layer Δ14C</t>
  </si>
  <si>
    <t>Bulk Layer Fraction Modern</t>
  </si>
  <si>
    <t>Microbial Biomass Method</t>
  </si>
  <si>
    <t>Raw Value</t>
  </si>
  <si>
    <t>Reported Value After Transformation</t>
  </si>
  <si>
    <t>Extractable Phosphorus</t>
  </si>
  <si>
    <t>Pyrophosphate Extractable Fe</t>
  </si>
  <si>
    <t>Pyrophosphate Extractable Al</t>
  </si>
  <si>
    <t>Pyrophosphate Extractable Si</t>
  </si>
  <si>
    <t>Pyrophosphate Extractable C</t>
  </si>
  <si>
    <t xml:space="preserve">Pyrophosphate Notes: Concentration, Extraction Time, Sequential or Parallel </t>
  </si>
  <si>
    <t>Oxalate Extractable Fe</t>
  </si>
  <si>
    <t>Oxalate Extractable Al</t>
  </si>
  <si>
    <t>Oxalate Extractable Si</t>
  </si>
  <si>
    <t>Oxalate Extractable C</t>
  </si>
  <si>
    <t xml:space="preserve">Oxalate Notes: Concentration, Extraction Time, Sequential or Parallel </t>
  </si>
  <si>
    <t>Hydroxylamine Extractable Fe</t>
  </si>
  <si>
    <t>Hydroxylamine Extractable Al</t>
  </si>
  <si>
    <t>Hydroxylamine Extractable Si</t>
  </si>
  <si>
    <t>Hydroxylamine Extractable C</t>
  </si>
  <si>
    <t xml:space="preserve">Hydroxylamine Notes: Concentration, Extraction Time, Sequential or Parallel </t>
  </si>
  <si>
    <t>Dithionite Extractable Fe</t>
  </si>
  <si>
    <t>Dithionite Extractable Al</t>
  </si>
  <si>
    <t>Dithionite Extractable Si</t>
  </si>
  <si>
    <t xml:space="preserve">Dithionite Notes: Concentration, Extraction Time, Sequential or Parallel </t>
  </si>
  <si>
    <t>Quartz Abundance</t>
  </si>
  <si>
    <t>Alkali Feldspar Abundance</t>
  </si>
  <si>
    <t>Plagioclase Feldspar Abundance</t>
  </si>
  <si>
    <t>Mica + Chlorite Abundance</t>
  </si>
  <si>
    <t>Enstatite + Augite + Diopside</t>
  </si>
  <si>
    <t>Olivine Abundance</t>
  </si>
  <si>
    <t>Volcanic Glass Abundance</t>
  </si>
  <si>
    <t>Kaolinite + Halloysite</t>
  </si>
  <si>
    <t>Gibbsite Abundance</t>
  </si>
  <si>
    <t>Goethite + Hematite + Magnetite + Lepidocrocite</t>
  </si>
  <si>
    <t>Imogolite + Allophane</t>
  </si>
  <si>
    <t>Ferrihydrite Abundance</t>
  </si>
  <si>
    <t>g cm-3</t>
  </si>
  <si>
    <t>(texture_class)</t>
  </si>
  <si>
    <t>cmol H+ kg-1</t>
  </si>
  <si>
    <t>meq 100g-1</t>
  </si>
  <si>
    <t>unitless</t>
  </si>
  <si>
    <t>‰</t>
  </si>
  <si>
    <t>YYYY</t>
  </si>
  <si>
    <t>(mbc_method)</t>
  </si>
  <si>
    <t>mgC/g</t>
  </si>
  <si>
    <t>mg/g</t>
  </si>
  <si>
    <t>% or +/++/+++</t>
  </si>
  <si>
    <t>Fraction Sample Name</t>
  </si>
  <si>
    <t>Fractionation Scheme</t>
  </si>
  <si>
    <t>Fraction Property</t>
  </si>
  <si>
    <t>Fractionation Scheme Units</t>
  </si>
  <si>
    <t>Lower Cutoff Numerical (e.g., density, diameter, days, etc.)</t>
  </si>
  <si>
    <t>Upper Cutoff Numerical (e.g., density, diameter, days, etc.)</t>
  </si>
  <si>
    <t>Concentration of Extractant</t>
  </si>
  <si>
    <t>Was Fraction a Composite?</t>
  </si>
  <si>
    <t>Fraction Notes</t>
  </si>
  <si>
    <t>Fraction Proportion of Sample Mass</t>
  </si>
  <si>
    <t>Fraction Total Carbon</t>
  </si>
  <si>
    <t>Fraction Organic Carbon</t>
  </si>
  <si>
    <t>Fraction Total Nitrogen</t>
  </si>
  <si>
    <t>Fraction 
C:N</t>
  </si>
  <si>
    <t>Fraction δ15N</t>
  </si>
  <si>
    <t>Fraction δ13C</t>
  </si>
  <si>
    <t>Fraction Δ14C</t>
  </si>
  <si>
    <t>Fraction Fraction Modern</t>
  </si>
  <si>
    <t>Mica + Chlorite</t>
  </si>
  <si>
    <t>(f_scheme)</t>
  </si>
  <si>
    <t>(f_property)</t>
  </si>
  <si>
    <t>(f_scheme_units)</t>
  </si>
  <si>
    <t>moles</t>
  </si>
  <si>
    <t>SITE</t>
  </si>
  <si>
    <t>PROFILE</t>
  </si>
  <si>
    <t>LAYER</t>
  </si>
  <si>
    <t>FRACTION</t>
  </si>
  <si>
    <t>NRCS</t>
  </si>
  <si>
    <t>Fractionation Property</t>
  </si>
  <si>
    <t>Measurement Unit</t>
  </si>
  <si>
    <t>AGD84</t>
  </si>
  <si>
    <t>N</t>
  </si>
  <si>
    <t>convergent</t>
  </si>
  <si>
    <t>bare</t>
  </si>
  <si>
    <t>excessively</t>
  </si>
  <si>
    <t>igneous intrusive</t>
  </si>
  <si>
    <t>mafic</t>
  </si>
  <si>
    <t>summit</t>
  </si>
  <si>
    <t>chloroform fumigation extraction</t>
  </si>
  <si>
    <t>g cm^-3</t>
  </si>
  <si>
    <t>ED50</t>
  </si>
  <si>
    <t>S</t>
  </si>
  <si>
    <t>divergent</t>
  </si>
  <si>
    <t>cultivated</t>
  </si>
  <si>
    <t>somewhat excessively</t>
  </si>
  <si>
    <t>igneous extrusive</t>
  </si>
  <si>
    <t>felsic</t>
  </si>
  <si>
    <t>shoulder</t>
  </si>
  <si>
    <t>loamy sand</t>
  </si>
  <si>
    <t>chloroform fumigation incubation</t>
  </si>
  <si>
    <t>ETRS89</t>
  </si>
  <si>
    <t>E</t>
  </si>
  <si>
    <t>planar</t>
  </si>
  <si>
    <t>forest</t>
  </si>
  <si>
    <t>well</t>
  </si>
  <si>
    <t>igneous pyroclastic</t>
  </si>
  <si>
    <t>intermediate</t>
  </si>
  <si>
    <t>backslope</t>
  </si>
  <si>
    <t>sandy loam</t>
  </si>
  <si>
    <t>substrate induced respiration</t>
  </si>
  <si>
    <t>HF</t>
  </si>
  <si>
    <t>M</t>
  </si>
  <si>
    <t>GRS80</t>
  </si>
  <si>
    <t>W</t>
  </si>
  <si>
    <t>rangeland/grassland</t>
  </si>
  <si>
    <t>moderately well</t>
  </si>
  <si>
    <t>metamorphic</t>
  </si>
  <si>
    <t>footslope</t>
  </si>
  <si>
    <t>loam</t>
  </si>
  <si>
    <t>total PLFA</t>
  </si>
  <si>
    <t>NAD83</t>
  </si>
  <si>
    <t>NE</t>
  </si>
  <si>
    <t>shrubland</t>
  </si>
  <si>
    <t>somewhat poorly</t>
  </si>
  <si>
    <t>sedimentary-clastics</t>
  </si>
  <si>
    <t>toeslope</t>
  </si>
  <si>
    <t xml:space="preserve">silt </t>
  </si>
  <si>
    <t>other</t>
  </si>
  <si>
    <t>Aggregate_Size</t>
  </si>
  <si>
    <t>wet sieve</t>
  </si>
  <si>
    <t>OSGB36</t>
  </si>
  <si>
    <t>NW</t>
  </si>
  <si>
    <t>urban</t>
  </si>
  <si>
    <t>poorly</t>
  </si>
  <si>
    <t>organic</t>
  </si>
  <si>
    <t>interfluve</t>
  </si>
  <si>
    <t>silty loam</t>
  </si>
  <si>
    <t>dry sieve</t>
  </si>
  <si>
    <t>um</t>
  </si>
  <si>
    <t>WGS84</t>
  </si>
  <si>
    <t>SE</t>
  </si>
  <si>
    <t>wetland</t>
  </si>
  <si>
    <t>very poorly</t>
  </si>
  <si>
    <t>evaporites</t>
  </si>
  <si>
    <t>sandy clay loam</t>
  </si>
  <si>
    <t>Particle_Size</t>
  </si>
  <si>
    <t>HMP</t>
  </si>
  <si>
    <t>SW</t>
  </si>
  <si>
    <t>interbedded</t>
  </si>
  <si>
    <t>clay loam</t>
  </si>
  <si>
    <t>Incubation</t>
  </si>
  <si>
    <t>respired</t>
  </si>
  <si>
    <t>silty clay loam</t>
  </si>
  <si>
    <t>sandy clay</t>
  </si>
  <si>
    <t>silty clay</t>
  </si>
  <si>
    <t xml:space="preserve">clay </t>
  </si>
  <si>
    <t>Your organization</t>
  </si>
  <si>
    <t>Your email</t>
  </si>
  <si>
    <t>You (person entering data)</t>
  </si>
  <si>
    <t>Inorganic Carbon</t>
  </si>
  <si>
    <t>metadata_note</t>
  </si>
  <si>
    <t>Organic Carbon</t>
  </si>
  <si>
    <t>Total Carbon</t>
  </si>
  <si>
    <t>Density</t>
  </si>
  <si>
    <t>Acid</t>
  </si>
  <si>
    <t>Acid_Evolution</t>
  </si>
  <si>
    <t>Base</t>
  </si>
  <si>
    <t>Chem_Extraction</t>
  </si>
  <si>
    <t>SPT</t>
  </si>
  <si>
    <t>HCL</t>
  </si>
  <si>
    <t>H2O2</t>
  </si>
  <si>
    <t>residual</t>
  </si>
  <si>
    <t>manual</t>
  </si>
  <si>
    <t>NaOH</t>
  </si>
  <si>
    <t>Pyrophosphate</t>
  </si>
  <si>
    <t>Dithionite</t>
  </si>
  <si>
    <t>acid soluble</t>
  </si>
  <si>
    <t>acid insoluble</t>
  </si>
  <si>
    <t>clay</t>
  </si>
  <si>
    <t>non-clay</t>
  </si>
  <si>
    <t>incubation residual</t>
  </si>
  <si>
    <t>roots</t>
  </si>
  <si>
    <t>root free</t>
  </si>
  <si>
    <t>carbonate</t>
  </si>
  <si>
    <t>carbonate free</t>
  </si>
  <si>
    <t>base soluble</t>
  </si>
  <si>
    <t>base insoluble</t>
  </si>
  <si>
    <t>Corresponding author of dataset</t>
  </si>
  <si>
    <t>Fraction Inorganic</t>
  </si>
  <si>
    <t xml:space="preserve">CaCl2 0.01M </t>
  </si>
  <si>
    <t>H2O 1:2</t>
  </si>
  <si>
    <t>H2O 1:1</t>
  </si>
  <si>
    <t xml:space="preserve">Colorimetric </t>
  </si>
  <si>
    <t>KCL 1M</t>
  </si>
  <si>
    <t xml:space="preserve">Soil pH </t>
  </si>
  <si>
    <t>Calcite + Dolomite Abundance</t>
  </si>
  <si>
    <t>Fraction Proportion of Total Layer Carbon</t>
  </si>
  <si>
    <t>(ph_method)</t>
  </si>
  <si>
    <t>Method Used to Measure pH</t>
  </si>
  <si>
    <t>Zeolite Abundance</t>
  </si>
  <si>
    <t>Chemical or Physical Agent for Fractionation</t>
  </si>
  <si>
    <t>rock type, etc.</t>
  </si>
  <si>
    <t>Exchangeable Calcium</t>
  </si>
  <si>
    <t>Exchangeable Sodium</t>
  </si>
  <si>
    <t>Exchangeable Magnesium</t>
  </si>
  <si>
    <t>Exchangeable Potassium</t>
  </si>
  <si>
    <t>Corresponding author email</t>
  </si>
  <si>
    <t>Corresponding author ORCID #</t>
  </si>
  <si>
    <t>Notes about dataset</t>
  </si>
  <si>
    <t>free light</t>
  </si>
  <si>
    <t>occluded light</t>
  </si>
  <si>
    <t>heavy</t>
  </si>
  <si>
    <t>days</t>
  </si>
  <si>
    <t>hours</t>
  </si>
  <si>
    <t>presence/absence</t>
  </si>
  <si>
    <t>Hydroxylamine</t>
  </si>
  <si>
    <t>H2O</t>
  </si>
  <si>
    <t>gravelly loam</t>
  </si>
  <si>
    <t>sonicated</t>
  </si>
  <si>
    <t>sand</t>
  </si>
  <si>
    <t>Time Series</t>
  </si>
  <si>
    <t>Manual_Separation</t>
  </si>
  <si>
    <t>Mean Annual Temperature</t>
  </si>
  <si>
    <t>Mean Annual Precipitation</t>
  </si>
  <si>
    <t>field conditions</t>
  </si>
  <si>
    <t>rewetted</t>
  </si>
  <si>
    <t>gravimetric water content</t>
  </si>
  <si>
    <t>% field capacity</t>
  </si>
  <si>
    <t>&lt;2 weeks</t>
  </si>
  <si>
    <t>&lt;1 month</t>
  </si>
  <si>
    <t>&lt;1 year</t>
  </si>
  <si>
    <t>&gt;1year</t>
  </si>
  <si>
    <t>mgC/g dry soil/day</t>
  </si>
  <si>
    <t>mgC/gC soil/day</t>
  </si>
  <si>
    <t>°C</t>
  </si>
  <si>
    <t>Was sample rewetted or measured directly from field?</t>
  </si>
  <si>
    <t>Mean Annual Volumetric Soil Water Content</t>
  </si>
  <si>
    <t>Do data represent an average of multiple profiles? Enter number of replicates here</t>
  </si>
  <si>
    <t>treatment</t>
  </si>
  <si>
    <t>control</t>
  </si>
  <si>
    <t>Were data collected under natural site conditions ("control")? Or were treatments imposed ("treatment")?</t>
  </si>
  <si>
    <t>Incubation Fraction Modern</t>
  </si>
  <si>
    <t>Incubation Δ14C</t>
  </si>
  <si>
    <t>notes</t>
  </si>
  <si>
    <t>C</t>
  </si>
  <si>
    <t>Profile Name</t>
  </si>
  <si>
    <t>Flag if mineral interface is unknown and depth is measured from atmosphere interface</t>
  </si>
  <si>
    <t>Profile name</t>
  </si>
  <si>
    <t>(soil, stream, etc.)</t>
  </si>
  <si>
    <t>ist_phase</t>
  </si>
  <si>
    <t>ist_analyte</t>
  </si>
  <si>
    <t>ist_method</t>
  </si>
  <si>
    <t>ist_time_dur</t>
  </si>
  <si>
    <t>ist_temp</t>
  </si>
  <si>
    <t>ist_13c</t>
  </si>
  <si>
    <t>ist_13c_sd</t>
  </si>
  <si>
    <t>ist_rc_lab</t>
  </si>
  <si>
    <t>ist_rc_lab_number</t>
  </si>
  <si>
    <t>ist_rc_year</t>
  </si>
  <si>
    <t>ist_14c</t>
  </si>
  <si>
    <t>ist_14c_sigma</t>
  </si>
  <si>
    <t>ist_14c_sd</t>
  </si>
  <si>
    <t>ist_fraction_modern</t>
  </si>
  <si>
    <t>ist_fraction_modern_sigma</t>
  </si>
  <si>
    <t>ist_fraction_modern_sd</t>
  </si>
  <si>
    <t xml:space="preserve">Interstitial Phase </t>
  </si>
  <si>
    <t>Interstitial Source Temperature (soil at depth)</t>
  </si>
  <si>
    <t>Interstitial δ13C</t>
  </si>
  <si>
    <t>Interstitial δ13C Standard Deviation</t>
  </si>
  <si>
    <t>Interstitial Δ14C</t>
  </si>
  <si>
    <t>Interstitial Fraction Modern</t>
  </si>
  <si>
    <t>Interstitial Fraction Modern Standard Deviation (AMS Analytical)</t>
  </si>
  <si>
    <t>Interstitial Fraction Modern Standard Deviation (Sample; If replicates reported with mean value only)</t>
  </si>
  <si>
    <t>ist_source_O2</t>
  </si>
  <si>
    <t>ist_source_H2O</t>
  </si>
  <si>
    <t>ist_concentration</t>
  </si>
  <si>
    <t>ist_concentration_units</t>
  </si>
  <si>
    <t>Layer name (choose from dropdown or enter new layer)</t>
  </si>
  <si>
    <t>author_year; author_year</t>
  </si>
  <si>
    <t>Author_year</t>
  </si>
  <si>
    <t>bibliographical_reference</t>
  </si>
  <si>
    <t>Additional Dataset Names (if multiple separate by semicolon)</t>
  </si>
  <si>
    <t>Notes on Parent Material/Chemistry</t>
  </si>
  <si>
    <t xml:space="preserve">Mean Annual Soil Temperature </t>
  </si>
  <si>
    <t>Ky</t>
  </si>
  <si>
    <t>Age (thousands of years)</t>
  </si>
  <si>
    <r>
      <t xml:space="preserve">Are </t>
    </r>
    <r>
      <rPr>
        <sz val="10"/>
        <color rgb="FF000000"/>
        <rFont val="Tahoma"/>
        <family val="2"/>
      </rPr>
      <t>p</t>
    </r>
    <r>
      <rPr>
        <sz val="10"/>
        <color rgb="FF000000"/>
        <rFont val="Tahoma"/>
        <family val="2"/>
      </rPr>
      <t xml:space="preserve">rofile </t>
    </r>
    <r>
      <rPr>
        <sz val="10"/>
        <color rgb="FF000000"/>
        <rFont val="Tahoma"/>
        <family val="2"/>
      </rPr>
      <t>d</t>
    </r>
    <r>
      <rPr>
        <sz val="10"/>
        <color rgb="FF000000"/>
        <rFont val="Tahoma"/>
        <family val="2"/>
      </rPr>
      <t xml:space="preserve">ata </t>
    </r>
    <r>
      <rPr>
        <sz val="10"/>
        <color rgb="FF000000"/>
        <rFont val="Tahoma"/>
        <family val="2"/>
      </rPr>
      <t>f</t>
    </r>
    <r>
      <rPr>
        <sz val="10"/>
        <color rgb="FF000000"/>
        <rFont val="Tahoma"/>
        <family val="2"/>
      </rPr>
      <t xml:space="preserve">rom </t>
    </r>
    <r>
      <rPr>
        <sz val="10"/>
        <color rgb="FF000000"/>
        <rFont val="Tahoma"/>
        <family val="2"/>
      </rPr>
      <t>c</t>
    </r>
    <r>
      <rPr>
        <sz val="10"/>
        <color rgb="FF000000"/>
        <rFont val="Tahoma"/>
        <family val="2"/>
      </rPr>
      <t xml:space="preserve">omposite 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ample?</t>
    </r>
  </si>
  <si>
    <r>
      <t xml:space="preserve">Notes on </t>
    </r>
    <r>
      <rPr>
        <sz val="10"/>
        <color rgb="FF000000"/>
        <rFont val="Tahoma"/>
        <family val="2"/>
      </rPr>
      <t>T</t>
    </r>
    <r>
      <rPr>
        <sz val="10"/>
        <color rgb="FF000000"/>
        <rFont val="Tahoma"/>
        <family val="2"/>
      </rPr>
      <t>reatment (e.g. warming, nutrient addition, etc)</t>
    </r>
  </si>
  <si>
    <t>Denote Sub-Site Grouping (e.g. plot)</t>
  </si>
  <si>
    <r>
      <t>(c</t>
    </r>
    <r>
      <rPr>
        <sz val="10"/>
        <color rgb="FF000000"/>
        <rFont val="Tahoma"/>
        <family val="2"/>
      </rPr>
      <t xml:space="preserve">ontrol or </t>
    </r>
    <r>
      <rPr>
        <sz val="10"/>
        <color rgb="FF000000"/>
        <rFont val="Tahoma"/>
        <family val="2"/>
      </rPr>
      <t>t</t>
    </r>
    <r>
      <rPr>
        <sz val="10"/>
        <color rgb="FF000000"/>
        <rFont val="Tahoma"/>
        <family val="2"/>
      </rPr>
      <t>reatment</t>
    </r>
    <r>
      <rPr>
        <sz val="10"/>
        <color rgb="FF000000"/>
        <rFont val="Tahoma"/>
        <family val="2"/>
      </rPr>
      <t>)</t>
    </r>
  </si>
  <si>
    <t>(yes or blank)</t>
  </si>
  <si>
    <r>
      <rPr>
        <sz val="10"/>
        <color rgb="FF000000"/>
        <rFont val="Tahoma"/>
        <family val="2"/>
      </rPr>
      <t>n</t>
    </r>
    <r>
      <rPr>
        <sz val="10"/>
        <color rgb="FF000000"/>
        <rFont val="Tahoma"/>
        <family val="2"/>
      </rPr>
      <t>umber (1 if no replicates)</t>
    </r>
  </si>
  <si>
    <t>Standard Deviation of Observed Flux Rate (if average is reported)</t>
  </si>
  <si>
    <t>Rate of Observed Flux</t>
  </si>
  <si>
    <t>Water Content (if soil source)</t>
  </si>
  <si>
    <t>O2 Concentration (if aquatic source)</t>
  </si>
  <si>
    <t>Correction for Atmospheric Contamination (mixing model)</t>
  </si>
  <si>
    <t>Was source isotopic signature estimated? (no need for atm. correction)</t>
  </si>
  <si>
    <t>(burn or blank)</t>
  </si>
  <si>
    <t xml:space="preserve">Smectite (montmorillonite) + Vermicullite </t>
  </si>
  <si>
    <t>Amphibole (hornblende)</t>
  </si>
  <si>
    <t>Specify Units for P Data</t>
  </si>
  <si>
    <t>Specify Method for P</t>
  </si>
  <si>
    <r>
      <t>Bulk Layer Fraction Modern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</si>
  <si>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Bulk Layer Fraction Modern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</si>
  <si>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t>Bulk Layer Δ14C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</si>
  <si>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Bulk Layer Δ14C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</si>
  <si>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t>Bulk Layer Surface Area Measured by BET</t>
  </si>
  <si>
    <t>Are layer data from composite?</t>
  </si>
  <si>
    <t>Interstitial Δ14C Standard Deviation (sample; If replicates reported with mean value only)</t>
  </si>
  <si>
    <t>Interstitial Δ14C Standard Deviation (AMS analytical)</t>
  </si>
  <si>
    <t>Concentration of Analyte</t>
  </si>
  <si>
    <t>Interstitial Collection Method (pump or equilibrate, e.g. peeper)</t>
  </si>
  <si>
    <t>(gas, liquid, frozen)</t>
  </si>
  <si>
    <t>Associated Fraction Name (if applicable)</t>
  </si>
  <si>
    <t>inc_type</t>
  </si>
  <si>
    <t>inc_note</t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</si>
  <si>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_duration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</si>
  <si>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_duration_type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</si>
  <si>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_temp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</si>
  <si>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_moisture_type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</si>
  <si>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_moisture</t>
    </r>
  </si>
  <si>
    <t>inc_C_respired</t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</si>
  <si>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_flux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</si>
  <si>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_13c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</si>
  <si>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_rc_lab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</si>
  <si>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_rc_lab_number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</si>
  <si>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_rc_year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</si>
  <si>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_14c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</si>
  <si>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_14c_sigma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</si>
  <si>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_14c_sd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</si>
  <si>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_fraction_modern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</si>
  <si>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_fraction_modern_sigma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</si>
  <si>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_fraction_modern_sd</t>
    </r>
  </si>
  <si>
    <r>
      <t>Incubation Fraction Modern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</si>
  <si>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Incubation Fraction Modern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</si>
  <si>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t>Incubation Δ14C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</si>
  <si>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Incubation Δ14C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</si>
  <si>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rPr>
        <sz val="10"/>
        <color rgb="FF000000"/>
        <rFont val="Tahoma"/>
        <family val="2"/>
      </rPr>
      <t>incubation</t>
    </r>
    <r>
      <rPr>
        <sz val="10"/>
        <color rgb="FF000000"/>
        <rFont val="Tahoma"/>
        <family val="2"/>
      </rPr>
      <t xml:space="preserve"> δ13C</t>
    </r>
  </si>
  <si>
    <r>
      <t xml:space="preserve">% of </t>
    </r>
    <r>
      <rPr>
        <sz val="10"/>
        <color rgb="FF000000"/>
        <rFont val="Tahoma"/>
        <family val="2"/>
      </rPr>
      <t>Layer or Fraction Total</t>
    </r>
    <r>
      <rPr>
        <sz val="10"/>
        <color rgb="FF000000"/>
        <rFont val="Tahoma"/>
        <family val="2"/>
      </rPr>
      <t xml:space="preserve"> C </t>
    </r>
    <r>
      <rPr>
        <sz val="10"/>
        <color rgb="FF000000"/>
        <rFont val="Tahoma"/>
        <family val="2"/>
      </rPr>
      <t>R</t>
    </r>
    <r>
      <rPr>
        <sz val="10"/>
        <color rgb="FF000000"/>
        <rFont val="Tahoma"/>
        <family val="2"/>
      </rPr>
      <t xml:space="preserve">espired </t>
    </r>
    <r>
      <rPr>
        <sz val="10"/>
        <color rgb="FF000000"/>
        <rFont val="Tahoma"/>
        <family val="2"/>
      </rPr>
      <t>Over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I</t>
    </r>
    <r>
      <rPr>
        <sz val="10"/>
        <color rgb="FF000000"/>
        <rFont val="Tahoma"/>
        <family val="2"/>
      </rPr>
      <t>ncubation</t>
    </r>
    <r>
      <rPr>
        <sz val="10"/>
        <color rgb="FF000000"/>
        <rFont val="Tahoma"/>
        <family val="2"/>
      </rPr>
      <t xml:space="preserve"> Duration</t>
    </r>
  </si>
  <si>
    <r>
      <t xml:space="preserve">Measured </t>
    </r>
    <r>
      <rPr>
        <sz val="10"/>
        <color rgb="FF000000"/>
        <rFont val="Tahoma"/>
        <family val="2"/>
      </rPr>
      <t>CO2</t>
    </r>
    <r>
      <rPr>
        <sz val="10"/>
        <color rgb="FF000000"/>
        <rFont val="Tahoma"/>
        <family val="2"/>
      </rPr>
      <t xml:space="preserve"> F</t>
    </r>
    <r>
      <rPr>
        <sz val="10"/>
        <color rgb="FF000000"/>
        <rFont val="Tahoma"/>
        <family val="2"/>
      </rPr>
      <t>lux</t>
    </r>
    <r>
      <rPr>
        <sz val="10"/>
        <color rgb="FF000000"/>
        <rFont val="Tahoma"/>
        <family val="2"/>
      </rPr>
      <t xml:space="preserve"> Over Duration of Incubation</t>
    </r>
  </si>
  <si>
    <r>
      <t>Length of i</t>
    </r>
    <r>
      <rPr>
        <sz val="10"/>
        <color rgb="FF000000"/>
        <rFont val="Tahoma"/>
        <family val="2"/>
      </rPr>
      <t xml:space="preserve">ncubation </t>
    </r>
    <r>
      <rPr>
        <sz val="10"/>
        <color rgb="FF000000"/>
        <rFont val="Tahoma"/>
        <family val="2"/>
      </rPr>
      <t>prior to this s</t>
    </r>
    <r>
      <rPr>
        <sz val="10"/>
        <color rgb="FF000000"/>
        <rFont val="Tahoma"/>
        <family val="2"/>
      </rPr>
      <t xml:space="preserve">ample </t>
    </r>
    <r>
      <rPr>
        <sz val="10"/>
        <color rgb="FF000000"/>
        <rFont val="Tahoma"/>
        <family val="2"/>
      </rPr>
      <t>m</t>
    </r>
    <r>
      <rPr>
        <sz val="10"/>
        <color rgb="FF000000"/>
        <rFont val="Tahoma"/>
        <family val="2"/>
      </rPr>
      <t>easure</t>
    </r>
    <r>
      <rPr>
        <sz val="10"/>
        <color rgb="FF000000"/>
        <rFont val="Tahoma"/>
        <family val="2"/>
      </rPr>
      <t>ment</t>
    </r>
    <r>
      <rPr>
        <sz val="10"/>
        <color rgb="FF000000"/>
        <rFont val="Tahoma"/>
        <family val="2"/>
      </rPr>
      <t xml:space="preserve"> (</t>
    </r>
    <r>
      <rPr>
        <sz val="10"/>
        <color rgb="FF000000"/>
        <rFont val="Tahoma"/>
        <family val="2"/>
      </rPr>
      <t>not total duration)</t>
    </r>
  </si>
  <si>
    <t>Starting Layer (bulk) or Fraction for Fractionation Scheme</t>
  </si>
  <si>
    <t>Fraction Δ14C Standard Deviation (AMS analytical)</t>
  </si>
  <si>
    <t>Fraction Fraction Modern Standard Deviation (AMS analytical)</t>
  </si>
  <si>
    <t>Fraction Δ14C Standard Deviation (sample; if replicates reported with mean value only)</t>
  </si>
  <si>
    <t>Fraction Fraction Modern Standard Deviation (sample; if replicates reported with mean value only)</t>
  </si>
  <si>
    <t>associated_datasets</t>
  </si>
  <si>
    <t>site_lat</t>
  </si>
  <si>
    <t>site_long</t>
  </si>
  <si>
    <t>site_datum</t>
  </si>
  <si>
    <t>site_elevation</t>
  </si>
  <si>
    <t>flx_pathway</t>
  </si>
  <si>
    <t>flx_pathway_note</t>
  </si>
  <si>
    <t>flx_analyte</t>
  </si>
  <si>
    <t>flx_ecosystem_component</t>
  </si>
  <si>
    <t>flx_duration</t>
  </si>
  <si>
    <t>flx_keeling_plot</t>
  </si>
  <si>
    <t>flx_atm_correction</t>
  </si>
  <si>
    <t>flx_source_temp</t>
  </si>
  <si>
    <t>flx_source_O2</t>
  </si>
  <si>
    <t>flx_source_H2O</t>
  </si>
  <si>
    <t>flx_rate</t>
  </si>
  <si>
    <t>flx_rate_sd</t>
  </si>
  <si>
    <t>flx_rate_units</t>
  </si>
  <si>
    <t>flx_rc_lab</t>
  </si>
  <si>
    <t>flx_rc_lab_number</t>
  </si>
  <si>
    <t>flx_rc_year</t>
  </si>
  <si>
    <t>flx_14c</t>
  </si>
  <si>
    <t>flx_14c_sigma</t>
  </si>
  <si>
    <t>flx_14c_sd</t>
  </si>
  <si>
    <t>flx_fraction_modern</t>
  </si>
  <si>
    <t>flx_fraction_modern_sigma</t>
  </si>
  <si>
    <t>flx_fraction_modern_sd</t>
  </si>
  <si>
    <t>pro_note</t>
  </si>
  <si>
    <t>pro_name</t>
  </si>
  <si>
    <t>pro_lat</t>
  </si>
  <si>
    <t>pro_long</t>
  </si>
  <si>
    <r>
      <t>p</t>
    </r>
    <r>
      <rPr>
        <b/>
        <sz val="10"/>
        <color rgb="FFFF0000"/>
        <rFont val="Tahoma"/>
        <family val="2"/>
      </rPr>
      <t>ro</t>
    </r>
    <r>
      <rPr>
        <b/>
        <sz val="10"/>
        <color rgb="FFFF0000"/>
        <rFont val="Tahoma"/>
        <family val="2"/>
      </rPr>
      <t>_treatment</t>
    </r>
  </si>
  <si>
    <r>
      <rPr>
        <b/>
        <sz val="10"/>
        <color rgb="FF000000"/>
        <rFont val="Tahoma"/>
        <family val="2"/>
      </rPr>
      <t>pro</t>
    </r>
    <r>
      <rPr>
        <b/>
        <sz val="10"/>
        <color rgb="FF000000"/>
        <rFont val="Tahoma"/>
        <family val="2"/>
      </rPr>
      <t>_treatment_note</t>
    </r>
  </si>
  <si>
    <t>pro_comp</t>
  </si>
  <si>
    <t>pro_reps</t>
  </si>
  <si>
    <t>pro_MAT</t>
  </si>
  <si>
    <t>pro_MAP</t>
  </si>
  <si>
    <t>pro_soil_taxon</t>
  </si>
  <si>
    <t>pro_soil_series</t>
  </si>
  <si>
    <t>pro_soil_age</t>
  </si>
  <si>
    <t>pro_MAST</t>
  </si>
  <si>
    <t>pro_MASWC</t>
  </si>
  <si>
    <t>pro_land_cover</t>
  </si>
  <si>
    <t>pro_veg_note</t>
  </si>
  <si>
    <t>pro_bedrock_depth</t>
  </si>
  <si>
    <t>pro_depth_water</t>
  </si>
  <si>
    <t>pro_thaw_depth</t>
  </si>
  <si>
    <t>pro_parent_material</t>
  </si>
  <si>
    <t>pro_parent_chem</t>
  </si>
  <si>
    <t>pro_parent_material_notes</t>
  </si>
  <si>
    <t>pro_2d_position</t>
  </si>
  <si>
    <t>pro_aspect</t>
  </si>
  <si>
    <t>pro_aspect_deg</t>
  </si>
  <si>
    <t>pro_slope</t>
  </si>
  <si>
    <t>pro_slope_shape</t>
  </si>
  <si>
    <t>pro_drainage_class</t>
  </si>
  <si>
    <t>pro_soc</t>
  </si>
  <si>
    <t>pro_soc_sigma</t>
  </si>
  <si>
    <t>pro_soc_depth</t>
  </si>
  <si>
    <t>lyr_name</t>
  </si>
  <si>
    <t>lyr_all_org_neg</t>
  </si>
  <si>
    <t>lyr_top</t>
  </si>
  <si>
    <t>lyr_bot</t>
  </si>
  <si>
    <t>lyr_hzn</t>
  </si>
  <si>
    <t>lyr_comp</t>
  </si>
  <si>
    <t>lyr_note</t>
  </si>
  <si>
    <t>lyr_color</t>
  </si>
  <si>
    <t>lyr_burn_ev</t>
  </si>
  <si>
    <t>lyr_bd_samp</t>
  </si>
  <si>
    <t>lyr_bd_tot</t>
  </si>
  <si>
    <t>lyr_bd_notes</t>
  </si>
  <si>
    <t>lyr_sand_tot_psa</t>
  </si>
  <si>
    <t>lyr_silt_tot_psa</t>
  </si>
  <si>
    <t>lyr_clay_tot_psa</t>
  </si>
  <si>
    <t>lyr_coarse_tot</t>
  </si>
  <si>
    <t>lyr_coarse_size_thresh</t>
  </si>
  <si>
    <t>lyr_texture_class</t>
  </si>
  <si>
    <t>lyr_bet_surface_area</t>
  </si>
  <si>
    <t>lyr_ph_cacl</t>
  </si>
  <si>
    <t>lyr_ph_h2o</t>
  </si>
  <si>
    <t>lyr_ph</t>
  </si>
  <si>
    <t>lyr_ph_method</t>
  </si>
  <si>
    <t>lyr_cat_exch</t>
  </si>
  <si>
    <t>lyr_base_sum</t>
  </si>
  <si>
    <t>lyr_ca_exch</t>
  </si>
  <si>
    <t>lyr_na_exch</t>
  </si>
  <si>
    <t>lyr_mg_exch</t>
  </si>
  <si>
    <t>lyr_k_exch</t>
  </si>
  <si>
    <t>lyr_ecec</t>
  </si>
  <si>
    <t>lyr_c_inorg</t>
  </si>
  <si>
    <t>lyr_c_org</t>
  </si>
  <si>
    <t>lyr_c_tot</t>
  </si>
  <si>
    <t>lyr_soc</t>
  </si>
  <si>
    <t>lyr_soc_sigma</t>
  </si>
  <si>
    <t>lyr_n_tot</t>
  </si>
  <si>
    <t>lyr_c_to_n</t>
  </si>
  <si>
    <t>lyr_loi</t>
  </si>
  <si>
    <t>lyr_15n</t>
  </si>
  <si>
    <t>lyr_13c</t>
  </si>
  <si>
    <t>lyr_rc_lab</t>
  </si>
  <si>
    <t>lyr_rc_lab_number</t>
  </si>
  <si>
    <t>lyr_rc_year</t>
  </si>
  <si>
    <t>lyr_14c</t>
  </si>
  <si>
    <t>lyr_14c_sigma</t>
  </si>
  <si>
    <t>lyr_14c_sd</t>
  </si>
  <si>
    <t>lyr_fraction_modern</t>
  </si>
  <si>
    <t>lyr_fraction_modern_sigma</t>
  </si>
  <si>
    <t>lyr_fraction_modern_sd</t>
  </si>
  <si>
    <t>lyr_mbc_method</t>
  </si>
  <si>
    <t>lyr_raw_mbc</t>
  </si>
  <si>
    <t>lyr_reported_mbc</t>
  </si>
  <si>
    <t>lyr_p_method</t>
  </si>
  <si>
    <t>lyr_fe_py</t>
  </si>
  <si>
    <t>lyr_al_py</t>
  </si>
  <si>
    <t>lyr_si_py</t>
  </si>
  <si>
    <t>lyr_c_py</t>
  </si>
  <si>
    <t>lyr_py_notes</t>
  </si>
  <si>
    <t>lyr_fe_ox</t>
  </si>
  <si>
    <t>lyr_al_ox</t>
  </si>
  <si>
    <t>lyr_si_ox</t>
  </si>
  <si>
    <t>lyr_c_ox</t>
  </si>
  <si>
    <t>lyr_ox_notes</t>
  </si>
  <si>
    <t>lyr_fe_hy</t>
  </si>
  <si>
    <t>lyr_al_hy</t>
  </si>
  <si>
    <t>lyr_si_hy</t>
  </si>
  <si>
    <t>lyr_c_hy</t>
  </si>
  <si>
    <t>lyr_hy_notes</t>
  </si>
  <si>
    <t>lyr_fe_dith</t>
  </si>
  <si>
    <t>lyr_al_dith</t>
  </si>
  <si>
    <t>lyr_si_dith</t>
  </si>
  <si>
    <t>lyr_dith_notes</t>
  </si>
  <si>
    <t>lyr_quartz</t>
  </si>
  <si>
    <t>lyr_alkali_feldspar</t>
  </si>
  <si>
    <t>lyr_plag_feldspar</t>
  </si>
  <si>
    <t>lyr_mica_chlorite</t>
  </si>
  <si>
    <t>lyr_amphibole</t>
  </si>
  <si>
    <t>lyr_olivine</t>
  </si>
  <si>
    <t>lyr_volc_glass</t>
  </si>
  <si>
    <t>lyr_kaol_halloy</t>
  </si>
  <si>
    <t>lyr_smect_vermic</t>
  </si>
  <si>
    <t>lyr_gibbsite</t>
  </si>
  <si>
    <t>lyr_fe_oxides</t>
  </si>
  <si>
    <t>lyr_imog_alloph</t>
  </si>
  <si>
    <t>lyr_ferrihydrite</t>
  </si>
  <si>
    <t>lyr_calcite_dolomite</t>
  </si>
  <si>
    <t>lyr_zeolite</t>
  </si>
  <si>
    <t>lyr_non_bulk</t>
  </si>
  <si>
    <t>inc</t>
  </si>
  <si>
    <t>frc</t>
  </si>
  <si>
    <t>ist_depth</t>
  </si>
  <si>
    <t>Depth of Interstitial Measurement</t>
  </si>
  <si>
    <t>frc_name</t>
  </si>
  <si>
    <t>frc_input</t>
  </si>
  <si>
    <t>frc_property</t>
  </si>
  <si>
    <t>frc_scheme</t>
  </si>
  <si>
    <t>frc_scheme_units</t>
  </si>
  <si>
    <t>frc_lower</t>
  </si>
  <si>
    <t>frc_upper</t>
  </si>
  <si>
    <t>frc_agent</t>
  </si>
  <si>
    <t>frc_scheme_conc</t>
  </si>
  <si>
    <t>frc_comp</t>
  </si>
  <si>
    <t>frc_note</t>
  </si>
  <si>
    <t>frc_mass_perc</t>
  </si>
  <si>
    <t>frc_bet_surface_area</t>
  </si>
  <si>
    <t>frc_c_perc</t>
  </si>
  <si>
    <t>frc_c_tot</t>
  </si>
  <si>
    <t>frc_c_org</t>
  </si>
  <si>
    <t>frc_c_inorg</t>
  </si>
  <si>
    <t>frc_n_tot</t>
  </si>
  <si>
    <t>frc_c_to_n</t>
  </si>
  <si>
    <t>frc_15n</t>
  </si>
  <si>
    <t>frc_13c</t>
  </si>
  <si>
    <t>frc_rc_lab</t>
  </si>
  <si>
    <t>frc_rc_lab_number</t>
  </si>
  <si>
    <t>frc_rc_year</t>
  </si>
  <si>
    <t>frc_14c</t>
  </si>
  <si>
    <t>frc_14c_sigma</t>
  </si>
  <si>
    <t>frc_14c_sd</t>
  </si>
  <si>
    <t>frc_quartz</t>
  </si>
  <si>
    <t>frc_alkali_feldspar</t>
  </si>
  <si>
    <t>frc_plag_feldspar</t>
  </si>
  <si>
    <t>frc_mica_chlorite</t>
  </si>
  <si>
    <t>frc_amphibole</t>
  </si>
  <si>
    <t>frc_olivine</t>
  </si>
  <si>
    <t>frc_volc_glass</t>
  </si>
  <si>
    <t>frc_kaol_halloy</t>
  </si>
  <si>
    <t>frc_smect_vermic</t>
  </si>
  <si>
    <t>frc_gibbsite</t>
  </si>
  <si>
    <t>frc_fe_oxides</t>
  </si>
  <si>
    <t>frc_imog_alloph</t>
  </si>
  <si>
    <t>frc_ferrihydrite</t>
  </si>
  <si>
    <t>frc_zeolite</t>
  </si>
  <si>
    <t>(frc_name or layer_name)</t>
  </si>
  <si>
    <t>INCUBATION</t>
  </si>
  <si>
    <t>plot_name</t>
  </si>
  <si>
    <t>Profile Name (if flux associated with a profile)</t>
  </si>
  <si>
    <t>flx_lat</t>
  </si>
  <si>
    <t>flx_long</t>
  </si>
  <si>
    <t>Latitude (if distinct from profile)</t>
  </si>
  <si>
    <t>Longitude (if distinct from profile)</t>
  </si>
  <si>
    <t>FLUX</t>
  </si>
  <si>
    <t>INTERSTITIAL</t>
  </si>
  <si>
    <t>soil emission</t>
  </si>
  <si>
    <t>water evasion</t>
  </si>
  <si>
    <t>bubble ebullition</t>
  </si>
  <si>
    <t>plant mediated</t>
  </si>
  <si>
    <t>CO2</t>
  </si>
  <si>
    <t>CH4</t>
  </si>
  <si>
    <t>DOC</t>
  </si>
  <si>
    <t>POC</t>
  </si>
  <si>
    <t>DIC</t>
  </si>
  <si>
    <t>autotrophic</t>
  </si>
  <si>
    <t>heterotrophic</t>
  </si>
  <si>
    <t>ecosystem</t>
  </si>
  <si>
    <t>aquatic</t>
  </si>
  <si>
    <t>chamber</t>
  </si>
  <si>
    <t>pump</t>
  </si>
  <si>
    <t xml:space="preserve"> Heterotrophic, Autotrophic, Ecosystem, or Aquatic</t>
  </si>
  <si>
    <t>flx_storage_method</t>
  </si>
  <si>
    <t>vial</t>
  </si>
  <si>
    <t>exetainer</t>
  </si>
  <si>
    <t>flask</t>
  </si>
  <si>
    <t>chemical trap</t>
  </si>
  <si>
    <t>molecular sieve</t>
  </si>
  <si>
    <t>gas</t>
  </si>
  <si>
    <t>liquid</t>
  </si>
  <si>
    <t>frozen</t>
  </si>
  <si>
    <t>flx_method</t>
  </si>
  <si>
    <t>equilibrate</t>
  </si>
  <si>
    <t>ist_storage_method</t>
  </si>
  <si>
    <t>gasbag</t>
  </si>
  <si>
    <t>grab sample</t>
  </si>
  <si>
    <t xml:space="preserve"> e.g. CO2, CH4, DIC, DOC, POC</t>
  </si>
  <si>
    <t>ppm(v)</t>
  </si>
  <si>
    <t>% (v/v)</t>
  </si>
  <si>
    <t>nmol m-2 s-1</t>
  </si>
  <si>
    <t>µmol m-2 s-1</t>
  </si>
  <si>
    <t>Interstitial Duration</t>
  </si>
  <si>
    <t>(≤1hr, etc.)</t>
  </si>
  <si>
    <t>entry_name</t>
  </si>
  <si>
    <t>Entry/Dataset Name</t>
  </si>
  <si>
    <t>tower</t>
  </si>
  <si>
    <t>Digital Object Identifier (DOI) Number</t>
  </si>
  <si>
    <t>doi</t>
  </si>
  <si>
    <t>pro_soil_taxon_sys</t>
  </si>
  <si>
    <t>Soil Taxonomic System</t>
  </si>
  <si>
    <t>Soil Series Name</t>
  </si>
  <si>
    <t>WRB</t>
  </si>
  <si>
    <t>USDA</t>
  </si>
  <si>
    <t>Mg C ha-1 yr-1</t>
  </si>
  <si>
    <t>mM L-1</t>
  </si>
  <si>
    <t>mg C L-1</t>
  </si>
  <si>
    <t>µg C m-2 s-1</t>
  </si>
  <si>
    <t>g C m-2 d-1</t>
  </si>
  <si>
    <t>kg C m-2 yr-1</t>
  </si>
  <si>
    <t>flx_method_note</t>
  </si>
  <si>
    <t>Sample Collection Method</t>
  </si>
  <si>
    <t>Specific Details About Flux Collection Method</t>
  </si>
  <si>
    <t>flx_duration_units</t>
  </si>
  <si>
    <t>mins</t>
  </si>
  <si>
    <t>hrs</t>
  </si>
  <si>
    <t>Flux δ13C</t>
  </si>
  <si>
    <t>Flux δ13C Standard Deviation</t>
  </si>
  <si>
    <t>Flux Δ14C</t>
  </si>
  <si>
    <t>Flux Δ14C Standard Deviation (AMS Analytical)</t>
  </si>
  <si>
    <t>Flux Δ14C Standard Deviation (Sample; If replicates reported with mean value only)</t>
  </si>
  <si>
    <t>Flux Fraction Modern</t>
  </si>
  <si>
    <t>Flux Fraction Modern Standard Deviation (AMS Analytical)</t>
  </si>
  <si>
    <t>Flux Fraction Modern Standard Deviation (Sample; If replicates reported with mean value only)</t>
  </si>
  <si>
    <t>inc/frc</t>
  </si>
  <si>
    <t>inc_13c_sd</t>
  </si>
  <si>
    <t>incubation δ13C Std Dev</t>
  </si>
  <si>
    <t>(inc_duration_type)</t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</si>
  <si>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</si>
  <si>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_moisture_type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</si>
  <si>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_moisture_units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</si>
  <si>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_duration_type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</si>
  <si>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_flux_units</t>
    </r>
  </si>
  <si>
    <t>litter</t>
  </si>
  <si>
    <t>frc_fe_py</t>
  </si>
  <si>
    <t>frc_al_py</t>
  </si>
  <si>
    <t>frc_si_py</t>
  </si>
  <si>
    <t>frc_c_py</t>
  </si>
  <si>
    <t>frc_py_notes</t>
  </si>
  <si>
    <t>Pyrophosphate Extraction Notes</t>
  </si>
  <si>
    <t>mg g-1</t>
  </si>
  <si>
    <t>Duration of Collection Period</t>
  </si>
  <si>
    <t>Flux Duration Units</t>
  </si>
  <si>
    <t>(numeric)</t>
  </si>
  <si>
    <t>Interstitial Storage Method (vial, exetainer, sieve, gasbag, flask, chemical trap)</t>
  </si>
  <si>
    <t>frc_mbc_method</t>
  </si>
  <si>
    <t>frc_raw_mbc</t>
  </si>
  <si>
    <t>frc_reported_mbc</t>
  </si>
  <si>
    <t>Measured Moisture (gravimetric)</t>
  </si>
  <si>
    <t>Units of Flux</t>
  </si>
  <si>
    <t>flx_13c</t>
  </si>
  <si>
    <t>flx_13c_sd</t>
  </si>
  <si>
    <t>atmosphere</t>
  </si>
  <si>
    <t>inc_obs_date_d</t>
  </si>
  <si>
    <t>inc_obs_date_y</t>
  </si>
  <si>
    <t>inc_obs_date_m</t>
  </si>
  <si>
    <t>yyyy</t>
  </si>
  <si>
    <t>dd</t>
  </si>
  <si>
    <r>
      <t xml:space="preserve">Observation </t>
    </r>
    <r>
      <rPr>
        <sz val="10"/>
        <color rgb="FF000000"/>
        <rFont val="Tahoma"/>
        <family val="2"/>
      </rPr>
      <t>Day</t>
    </r>
  </si>
  <si>
    <t>Observation Year</t>
  </si>
  <si>
    <t>Observation Month</t>
  </si>
  <si>
    <t>frc_obs_date_y</t>
  </si>
  <si>
    <t>frc_obs_date_m</t>
  </si>
  <si>
    <t>frc_obs_date_d</t>
  </si>
  <si>
    <t>ist_obs_date_y</t>
  </si>
  <si>
    <t>ist_obs_date_m</t>
  </si>
  <si>
    <t>ist_obs_date_d</t>
  </si>
  <si>
    <t>lyr_obs_date_y</t>
  </si>
  <si>
    <t>lyr_obs_date_m</t>
  </si>
  <si>
    <t>lyr_obs_date_d</t>
  </si>
  <si>
    <t>flx_obs_date_y</t>
  </si>
  <si>
    <t>flx_obs_date_m</t>
  </si>
  <si>
    <t>flx_obs_date_d</t>
  </si>
  <si>
    <t>modification_date_y</t>
  </si>
  <si>
    <t>modification_date_m</t>
  </si>
  <si>
    <t>modification_date_d</t>
  </si>
  <si>
    <t>Template Modification Year</t>
  </si>
  <si>
    <t>Template Modification Month</t>
  </si>
  <si>
    <t>Template Modification Day</t>
  </si>
  <si>
    <t>inc_ecosystem_component</t>
  </si>
  <si>
    <t>soil</t>
  </si>
  <si>
    <t>inc_flux_units</t>
  </si>
  <si>
    <t>Material Incubated</t>
  </si>
  <si>
    <t>soil w/ dead roots</t>
  </si>
  <si>
    <t>soil w/ live roots</t>
  </si>
  <si>
    <t>live roots</t>
  </si>
  <si>
    <t>dead roots</t>
  </si>
  <si>
    <t>root-picked soil</t>
  </si>
  <si>
    <t>inc_moisture_units</t>
  </si>
  <si>
    <t>Incubation Moisture Units</t>
  </si>
  <si>
    <t>(inc_moisture_units)</t>
  </si>
  <si>
    <t>compilation_doi</t>
  </si>
  <si>
    <t>DOI of Published Compiliation</t>
  </si>
  <si>
    <t>lyr_cec_sum</t>
  </si>
  <si>
    <t>lyr_bs</t>
  </si>
  <si>
    <t>lyr_p_ext</t>
  </si>
  <si>
    <t>lyr_p_units</t>
  </si>
  <si>
    <t>lyr_pyroxine</t>
  </si>
  <si>
    <t>frc_fe_ox</t>
  </si>
  <si>
    <t>frc_al_ox</t>
  </si>
  <si>
    <t>frc_si_ox</t>
  </si>
  <si>
    <t>frc_c_ox</t>
  </si>
  <si>
    <t>frc_ox_notes</t>
  </si>
  <si>
    <t>frc_fe_hy</t>
  </si>
  <si>
    <t>frc_al_hy</t>
  </si>
  <si>
    <t>frc_si_hy</t>
  </si>
  <si>
    <t>frc_c_hy</t>
  </si>
  <si>
    <t>frc_hy_notes</t>
  </si>
  <si>
    <t>frc_fe_dith</t>
  </si>
  <si>
    <t>frc_al_dith</t>
  </si>
  <si>
    <t>frc_si_dith</t>
  </si>
  <si>
    <t>frc_pyroxine</t>
  </si>
  <si>
    <t>dissolved</t>
  </si>
  <si>
    <t>suspended</t>
  </si>
  <si>
    <t>(flx_analyte)</t>
  </si>
  <si>
    <t>Flux Pathway</t>
  </si>
  <si>
    <t>(flx_pathway)</t>
  </si>
  <si>
    <t>(flx_ecosystem_component)</t>
  </si>
  <si>
    <r>
      <rPr>
        <sz val="11"/>
        <color rgb="FF000000"/>
        <rFont val="Calibri"/>
        <family val="2"/>
      </rPr>
      <t>(flx_method)</t>
    </r>
  </si>
  <si>
    <t>Chemical Species/Unit Analyzed</t>
  </si>
  <si>
    <r>
      <rPr>
        <sz val="11"/>
        <color rgb="FF000000"/>
        <rFont val="Calibri"/>
        <family val="2"/>
      </rPr>
      <t>(flx_storage_method)</t>
    </r>
  </si>
  <si>
    <t>Sample Storage Method</t>
  </si>
  <si>
    <t>gas bag</t>
  </si>
  <si>
    <t>(flx_duration_units)</t>
  </si>
  <si>
    <t>(flx_rate_units)</t>
  </si>
  <si>
    <t>Stepped_Combustion</t>
  </si>
  <si>
    <r>
      <rPr>
        <b/>
        <sz val="10"/>
        <color rgb="FF000000"/>
        <rFont val="Calibri"/>
        <family val="2"/>
      </rPr>
      <t>pro_</t>
    </r>
    <r>
      <rPr>
        <b/>
        <sz val="10"/>
        <color rgb="FF000000"/>
        <rFont val="Calibri"/>
        <family val="2"/>
      </rPr>
      <t>treatment</t>
    </r>
  </si>
  <si>
    <t>(pro_soil_taxon_sys)</t>
  </si>
  <si>
    <t>yes</t>
  </si>
  <si>
    <t>burn</t>
  </si>
  <si>
    <t>Sodium Iodide</t>
  </si>
  <si>
    <t>Dutta_2006</t>
  </si>
  <si>
    <t>10.1111/j.1365-2486.2006.01259.x</t>
  </si>
  <si>
    <t>MPI-BGC</t>
  </si>
  <si>
    <t>Edward A.G. Schuur</t>
  </si>
  <si>
    <t xml:space="preserve">tschuur@ufl.edu </t>
  </si>
  <si>
    <t>Dutta K, Schuur EAG, Neff JC, Zimov SA, 2006, Potential carbon release from permafrost soils of Northeastern Siberia, Global Change Biology, 12, 2336-2351</t>
  </si>
  <si>
    <t>close to Cherskii, Republic of Sakha (Yakutia), northerstern Siberia, Russia</t>
  </si>
  <si>
    <t>Sukharnaya</t>
  </si>
  <si>
    <t>loess permafrost soils</t>
  </si>
  <si>
    <t>loamy Gelisol</t>
  </si>
  <si>
    <t>tundra, shrub tundra</t>
  </si>
  <si>
    <t>Medvezhka</t>
  </si>
  <si>
    <t>Duvannyi Yar</t>
  </si>
  <si>
    <t>larch forest (Larix gmelinii)</t>
  </si>
  <si>
    <t>Zelenyi Mys</t>
  </si>
  <si>
    <t>S_1</t>
  </si>
  <si>
    <t>inf</t>
  </si>
  <si>
    <t>Not clear if coars fragments were removed or not</t>
  </si>
  <si>
    <t>KCCAMS</t>
  </si>
  <si>
    <t>M_1</t>
  </si>
  <si>
    <t>DY_1</t>
  </si>
  <si>
    <t>ZM_1</t>
  </si>
  <si>
    <t>ZM_2</t>
  </si>
  <si>
    <t>ZM_3</t>
  </si>
  <si>
    <t>S_1_organic</t>
  </si>
  <si>
    <t>M_1_organic</t>
  </si>
  <si>
    <t>DY_1_organic</t>
  </si>
  <si>
    <t>ZM_1_organic</t>
  </si>
  <si>
    <t>ZM_2_organic</t>
  </si>
  <si>
    <t>ZM_3_organic</t>
  </si>
  <si>
    <t>S_1_DOC</t>
  </si>
  <si>
    <t>M_1_DOC</t>
  </si>
  <si>
    <t>DY_1_DOC</t>
  </si>
  <si>
    <t>ZM_1_DOC</t>
  </si>
  <si>
    <t>ZM_2_DOC</t>
  </si>
  <si>
    <t>ZM_3_DOC</t>
  </si>
  <si>
    <t>S_1_mineral</t>
  </si>
  <si>
    <t>M_1_mineral</t>
  </si>
  <si>
    <t>DY_1_mineral</t>
  </si>
  <si>
    <t>ZM_1_mineral</t>
  </si>
  <si>
    <t>ZM_2_mineral</t>
  </si>
  <si>
    <t>ZM_3_mineral</t>
  </si>
  <si>
    <t>S_1_humus</t>
  </si>
  <si>
    <t>M_1_humus</t>
  </si>
  <si>
    <t>DY_1_humus</t>
  </si>
  <si>
    <t>ZM_1_humus</t>
  </si>
  <si>
    <t>ZM_2_humus</t>
  </si>
  <si>
    <t>ZM_3_humus</t>
  </si>
  <si>
    <t>inc_name</t>
  </si>
  <si>
    <t>frc_fraction_modern</t>
  </si>
  <si>
    <t>frc_fraction_modern_sigma</t>
  </si>
  <si>
    <t>frc_fraction_modern_sd</t>
  </si>
  <si>
    <t>tundra</t>
  </si>
  <si>
    <t>Sophie von Fromm / Alison Hoyt</t>
  </si>
  <si>
    <t>sfromm@bgc-jena.mpg.de / ahoyt@bgc-jena.mpg.de</t>
  </si>
  <si>
    <t>pro_usda_soil_order</t>
  </si>
  <si>
    <t>Alfisols</t>
  </si>
  <si>
    <t>Andisols</t>
  </si>
  <si>
    <t>Aridisols</t>
  </si>
  <si>
    <t>Entisols</t>
  </si>
  <si>
    <t>Gelisols</t>
  </si>
  <si>
    <t>Histosols</t>
  </si>
  <si>
    <t>Inceptisols</t>
  </si>
  <si>
    <t>Mollisols</t>
  </si>
  <si>
    <t>Oxisols</t>
  </si>
  <si>
    <t>Spodosols</t>
  </si>
  <si>
    <t>Ultisols</t>
  </si>
  <si>
    <t>Vertisols</t>
  </si>
  <si>
    <t>pro_lc_phenology</t>
  </si>
  <si>
    <t>pro_lc_leaf_type</t>
  </si>
  <si>
    <t>pro_lc_photosyn_path</t>
  </si>
  <si>
    <t>deciduous</t>
  </si>
  <si>
    <t>broadleaf</t>
  </si>
  <si>
    <t>C3</t>
  </si>
  <si>
    <t>evergreen</t>
  </si>
  <si>
    <t>needleleaf</t>
  </si>
  <si>
    <t>C4</t>
  </si>
  <si>
    <t>mixed</t>
  </si>
  <si>
    <t>CAM</t>
  </si>
  <si>
    <t>pro_elevation</t>
  </si>
  <si>
    <t>Soil Order in USDA Taxonomy</t>
  </si>
  <si>
    <t>(pro_usda_soil_order)</t>
  </si>
  <si>
    <t>Additonal Soil Taxonomic Descriptors (e.g. more specific USDA or WRB)</t>
  </si>
  <si>
    <t>pro_chrono_name</t>
  </si>
  <si>
    <t>Denote Chronosequence Grouping</t>
  </si>
  <si>
    <t>pro_soil_age_note</t>
  </si>
  <si>
    <t>Notes on Soil Age or Chronosequence</t>
  </si>
  <si>
    <t>Forest or Shrubland Phenology (leave blank if unknown)</t>
  </si>
  <si>
    <t>Forest Leaf Morphology (leave blank if unknown)</t>
  </si>
  <si>
    <t>Photosynthetic Pathway (leave blank if unknown)</t>
  </si>
  <si>
    <t>(phenology)</t>
  </si>
  <si>
    <t>(leaf type)</t>
  </si>
  <si>
    <t>(photosynthetic pathway)</t>
  </si>
  <si>
    <t>pro_NPP</t>
  </si>
  <si>
    <t>NPP</t>
  </si>
  <si>
    <t>g C m-2 yr-1</t>
  </si>
  <si>
    <t>pro_complete</t>
  </si>
  <si>
    <t>Complete Profile Flag</t>
  </si>
  <si>
    <t>loess</t>
  </si>
  <si>
    <t>loess and moderately weathered colluviums from acidic schist and diorite parent rocks</t>
  </si>
  <si>
    <t>frc_aggregate_dis</t>
  </si>
  <si>
    <t>Aggregate disruption</t>
  </si>
  <si>
    <t>(frc_aggregate_dis)</t>
  </si>
  <si>
    <t>particle size</t>
  </si>
  <si>
    <t>chemical</t>
  </si>
  <si>
    <t>density</t>
  </si>
  <si>
    <t>"humus fraction" in paper</t>
  </si>
  <si>
    <t>acid extraction (other)</t>
  </si>
  <si>
    <t>frc_aba</t>
  </si>
  <si>
    <t xml:space="preserve">Acid-base-acid </t>
  </si>
  <si>
    <t>no</t>
  </si>
  <si>
    <t>physical</t>
  </si>
  <si>
    <t>separated by sieving at 1mm and flotation in deionized (DI) water, is organic material includes fine roots</t>
  </si>
  <si>
    <t>DOC, supsample thawed in DI water (10:1); centrifuged, filtered and acidified w/ nitric acid to pH 2</t>
  </si>
  <si>
    <t>DOC, supsample thawed in DI water (10:1); centrifuged, filtered and acidified w/ nitric acid to pH 3</t>
  </si>
  <si>
    <t>DOC, supsample thawed in DI water (10:1); centrifuged, filtered and acidified w/ nitric acid to pH 4</t>
  </si>
  <si>
    <t>DOC, supsample thawed in DI water (10:1); centrifuged, filtered and acidified w/ nitric acid to pH 5</t>
  </si>
  <si>
    <t>DOC, supsample thawed in DI water (10:1); centrifuged, filtered and acidified w/ nitric acid to pH 6</t>
  </si>
  <si>
    <t>DOC, supsample thawed in DI water (10:1); centrifuged, filtered and acidified w/ nitric acid to pH 7</t>
  </si>
  <si>
    <t>extracted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</si>
</sst>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</font>
    <font>
      <b/>
      <sz val="10"/>
      <color rgb="FF000000"/>
      <name val="Tahoma"/>
      <family val="2"/>
    </font>
    <font>
      <b/>
      <sz val="1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0"/>
      <color rgb="FFFF0000"/>
      <name val="Tahoma"/>
      <family val="2"/>
    </font>
    <font>
      <b/>
      <i/>
      <sz val="10"/>
      <name val="Calibri"/>
      <family val="2"/>
    </font>
    <font>
      <b/>
      <sz val="10"/>
      <color rgb="FF000000"/>
      <name val="Calibri"/>
      <family val="2"/>
    </font>
    <font>
      <u/>
      <sz val="10"/>
      <color rgb="FF0000FF"/>
      <name val="Calibri"/>
      <family val="2"/>
    </font>
    <font>
      <i/>
      <sz val="10"/>
      <color rgb="FF000000"/>
      <name val="Calibri"/>
      <family val="2"/>
    </font>
    <font>
      <b/>
      <sz val="11"/>
      <name val="Calibri"/>
      <family val="2"/>
    </font>
    <font>
      <u/>
      <sz val="11"/>
      <color theme="11"/>
      <name val="Calibri"/>
      <family val="2"/>
    </font>
    <font>
      <sz val="10"/>
      <name val="Tahoma"/>
      <family val="2"/>
    </font>
    <font>
      <sz val="1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0"/>
      <name val="Calibri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8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9" tint="0.79998168889431442"/>
        <bgColor rgb="FFA5A5A5"/>
      </patternFill>
    </fill>
    <fill>
      <patternFill patternType="solid">
        <fgColor theme="9" tint="0.79998168889431442"/>
        <bgColor rgb="FFBFBFBF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8" tint="0.79998168889431442"/>
        <bgColor rgb="FFA5A5A5"/>
      </patternFill>
    </fill>
    <fill>
      <patternFill patternType="solid">
        <fgColor theme="8" tint="0.79998168889431442"/>
        <bgColor rgb="FFBFBFBF"/>
      </patternFill>
    </fill>
    <fill>
      <patternFill patternType="solid">
        <fgColor theme="8" tint="0.79998168889431442"/>
        <bgColor rgb="FFD8D8D8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7" tint="0.79998168889431442"/>
        <bgColor rgb="FFD8D8D8"/>
      </patternFill>
    </fill>
    <fill>
      <patternFill patternType="solid">
        <fgColor theme="7" tint="0.79998168889431442"/>
        <bgColor rgb="FFA5A5A5"/>
      </patternFill>
    </fill>
    <fill>
      <patternFill patternType="solid">
        <fgColor theme="6" tint="0.79998168889431442"/>
        <bgColor rgb="FFA5A5A5"/>
      </patternFill>
    </fill>
    <fill>
      <patternFill patternType="solid">
        <fgColor theme="6" tint="0.79998168889431442"/>
        <bgColor rgb="FFBFBFBF"/>
      </patternFill>
    </fill>
    <fill>
      <patternFill patternType="solid">
        <fgColor theme="6" tint="0.79998168889431442"/>
        <bgColor rgb="FFD8D8D8"/>
      </patternFill>
    </fill>
    <fill>
      <patternFill patternType="solid">
        <fgColor theme="5" tint="0.79998168889431442"/>
        <bgColor rgb="FFA5A5A5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5" tint="0.79998168889431442"/>
        <bgColor rgb="FFD8D8D8"/>
      </patternFill>
    </fill>
    <fill>
      <patternFill patternType="solid">
        <fgColor theme="4" tint="0.79998168889431442"/>
        <bgColor rgb="FFA5A5A5"/>
      </patternFill>
    </fill>
    <fill>
      <patternFill patternType="solid">
        <fgColor theme="4" tint="0.79998168889431442"/>
        <bgColor rgb="FFBFBFBF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2" tint="-9.9978637043366805E-2"/>
        <bgColor rgb="FFA5A5A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BFBFBF"/>
      </patternFill>
    </fill>
    <fill>
      <patternFill patternType="solid">
        <fgColor theme="2" tint="-9.9978637043366805E-2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5E0EE"/>
        <bgColor indexed="64"/>
      </patternFill>
    </fill>
    <fill>
      <patternFill patternType="solid">
        <fgColor rgb="FFD5E0EE"/>
        <bgColor rgb="FFD8D8D8"/>
      </patternFill>
    </fill>
    <fill>
      <patternFill patternType="solid">
        <fgColor rgb="FFEBF1DE"/>
        <bgColor rgb="FFA5A5A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43">
    <xf numFmtId="0" fontId="0" fillId="0" borderId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1" xfId="0" applyBorder="1"/>
    <xf numFmtId="0" fontId="12" fillId="5" borderId="1" xfId="0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wrapText="1"/>
    </xf>
    <xf numFmtId="0" fontId="0" fillId="5" borderId="1" xfId="0" applyFill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4" fillId="0" borderId="1" xfId="0" applyFont="1" applyBorder="1"/>
    <xf numFmtId="0" fontId="14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left" wrapText="1" readingOrder="1"/>
    </xf>
    <xf numFmtId="0" fontId="18" fillId="0" borderId="0" xfId="0" applyFont="1"/>
    <xf numFmtId="0" fontId="3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top" wrapText="1" readingOrder="1"/>
    </xf>
    <xf numFmtId="0" fontId="0" fillId="9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top" wrapText="1" readingOrder="1"/>
    </xf>
    <xf numFmtId="0" fontId="12" fillId="4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17" fillId="3" borderId="1" xfId="0" applyFont="1" applyFill="1" applyBorder="1" applyAlignment="1">
      <alignment horizontal="center" vertical="top" wrapText="1" readingOrder="1"/>
    </xf>
    <xf numFmtId="0" fontId="17" fillId="7" borderId="1" xfId="0" applyFont="1" applyFill="1" applyBorder="1" applyAlignment="1">
      <alignment horizontal="center" vertical="top" wrapText="1" readingOrder="1"/>
    </xf>
    <xf numFmtId="0" fontId="3" fillId="7" borderId="1" xfId="0" applyFont="1" applyFill="1" applyBorder="1" applyAlignment="1">
      <alignment horizontal="center" vertical="top" wrapText="1" readingOrder="1"/>
    </xf>
    <xf numFmtId="0" fontId="3" fillId="8" borderId="1" xfId="0" applyFont="1" applyFill="1" applyBorder="1" applyAlignment="1">
      <alignment horizontal="center" vertical="center" wrapText="1" readingOrder="1"/>
    </xf>
    <xf numFmtId="0" fontId="17" fillId="8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 readingOrder="1"/>
    </xf>
    <xf numFmtId="0" fontId="2" fillId="15" borderId="1" xfId="0" applyFont="1" applyFill="1" applyBorder="1" applyAlignment="1">
      <alignment horizontal="center" vertical="center" wrapText="1" readingOrder="1"/>
    </xf>
    <xf numFmtId="0" fontId="1" fillId="15" borderId="1" xfId="0" applyFont="1" applyFill="1" applyBorder="1" applyAlignment="1">
      <alignment horizontal="center" vertical="center" wrapText="1" readingOrder="1"/>
    </xf>
    <xf numFmtId="0" fontId="1" fillId="20" borderId="1" xfId="0" applyFont="1" applyFill="1" applyBorder="1" applyAlignment="1">
      <alignment horizontal="center" vertical="center" wrapText="1" readingOrder="1"/>
    </xf>
    <xf numFmtId="0" fontId="1" fillId="21" borderId="1" xfId="0" applyFont="1" applyFill="1" applyBorder="1" applyAlignment="1">
      <alignment horizontal="center" vertical="center" wrapText="1" readingOrder="1"/>
    </xf>
    <xf numFmtId="0" fontId="1" fillId="24" borderId="1" xfId="0" applyFont="1" applyFill="1" applyBorder="1" applyAlignment="1">
      <alignment horizontal="center" vertical="center" wrapText="1" readingOrder="1"/>
    </xf>
    <xf numFmtId="0" fontId="1" fillId="27" borderId="1" xfId="0" applyFont="1" applyFill="1" applyBorder="1" applyAlignment="1">
      <alignment horizontal="center" vertical="center" wrapText="1" readingOrder="1"/>
    </xf>
    <xf numFmtId="0" fontId="1" fillId="30" borderId="1" xfId="0" applyFont="1" applyFill="1" applyBorder="1" applyAlignment="1">
      <alignment horizontal="center" vertical="center" wrapText="1" readingOrder="1"/>
    </xf>
    <xf numFmtId="0" fontId="1" fillId="31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 vertical="top" wrapText="1" readingOrder="1"/>
    </xf>
    <xf numFmtId="0" fontId="12" fillId="16" borderId="1" xfId="0" applyFont="1" applyFill="1" applyBorder="1" applyAlignment="1">
      <alignment horizontal="center" vertical="top" wrapText="1" readingOrder="1"/>
    </xf>
    <xf numFmtId="0" fontId="3" fillId="16" borderId="1" xfId="0" applyFont="1" applyFill="1" applyBorder="1" applyAlignment="1">
      <alignment horizontal="center" vertical="top" wrapText="1" readingOrder="1"/>
    </xf>
    <xf numFmtId="0" fontId="3" fillId="18" borderId="1" xfId="0" applyFont="1" applyFill="1" applyBorder="1" applyAlignment="1">
      <alignment horizontal="center" vertical="top" wrapText="1" readingOrder="1"/>
    </xf>
    <xf numFmtId="0" fontId="3" fillId="22" borderId="1" xfId="0" applyFont="1" applyFill="1" applyBorder="1" applyAlignment="1">
      <alignment horizontal="center" vertical="top" wrapText="1" readingOrder="1"/>
    </xf>
    <xf numFmtId="0" fontId="17" fillId="22" borderId="1" xfId="0" applyFont="1" applyFill="1" applyBorder="1" applyAlignment="1">
      <alignment horizontal="center" vertical="top" wrapText="1" readingOrder="1"/>
    </xf>
    <xf numFmtId="0" fontId="3" fillId="25" borderId="1" xfId="0" applyFont="1" applyFill="1" applyBorder="1" applyAlignment="1">
      <alignment horizontal="center" vertical="top" wrapText="1" readingOrder="1"/>
    </xf>
    <xf numFmtId="0" fontId="3" fillId="28" borderId="1" xfId="0" applyFont="1" applyFill="1" applyBorder="1" applyAlignment="1">
      <alignment horizontal="center" vertical="top" wrapText="1" readingOrder="1"/>
    </xf>
    <xf numFmtId="0" fontId="3" fillId="28" borderId="1" xfId="0" applyFont="1" applyFill="1" applyBorder="1" applyAlignment="1">
      <alignment horizontal="center" vertical="top" wrapText="1"/>
    </xf>
    <xf numFmtId="0" fontId="3" fillId="32" borderId="1" xfId="0" applyFont="1" applyFill="1" applyBorder="1" applyAlignment="1">
      <alignment horizontal="center" vertical="top" wrapText="1" readingOrder="1"/>
    </xf>
    <xf numFmtId="0" fontId="0" fillId="31" borderId="1" xfId="0" applyFill="1" applyBorder="1" applyAlignment="1">
      <alignment horizontal="center" vertical="top" wrapText="1"/>
    </xf>
    <xf numFmtId="0" fontId="17" fillId="36" borderId="1" xfId="0" applyFont="1" applyFill="1" applyBorder="1" applyAlignment="1">
      <alignment horizontal="center" vertical="top" wrapText="1"/>
    </xf>
    <xf numFmtId="0" fontId="3" fillId="14" borderId="1" xfId="0" applyFont="1" applyFill="1" applyBorder="1" applyAlignment="1">
      <alignment horizontal="center" vertical="center" wrapText="1" readingOrder="1"/>
    </xf>
    <xf numFmtId="0" fontId="12" fillId="17" borderId="1" xfId="0" applyFont="1" applyFill="1" applyBorder="1" applyAlignment="1">
      <alignment horizontal="center" vertical="center" wrapText="1" readingOrder="1"/>
    </xf>
    <xf numFmtId="0" fontId="3" fillId="17" borderId="1" xfId="0" applyFont="1" applyFill="1" applyBorder="1" applyAlignment="1">
      <alignment horizontal="center" vertical="center" wrapText="1" readingOrder="1"/>
    </xf>
    <xf numFmtId="0" fontId="3" fillId="19" borderId="1" xfId="0" applyFont="1" applyFill="1" applyBorder="1" applyAlignment="1">
      <alignment horizontal="center" vertical="center" wrapText="1" readingOrder="1"/>
    </xf>
    <xf numFmtId="0" fontId="3" fillId="23" borderId="1" xfId="0" applyFont="1" applyFill="1" applyBorder="1" applyAlignment="1">
      <alignment horizontal="center" vertical="center" wrapText="1" readingOrder="1"/>
    </xf>
    <xf numFmtId="0" fontId="3" fillId="26" borderId="1" xfId="0" applyFont="1" applyFill="1" applyBorder="1" applyAlignment="1">
      <alignment horizontal="center" vertical="center" wrapText="1" readingOrder="1"/>
    </xf>
    <xf numFmtId="0" fontId="3" fillId="29" borderId="1" xfId="0" applyFont="1" applyFill="1" applyBorder="1" applyAlignment="1">
      <alignment horizontal="center" vertical="center" wrapText="1" readingOrder="1"/>
    </xf>
    <xf numFmtId="0" fontId="3" fillId="33" borderId="1" xfId="0" applyFont="1" applyFill="1" applyBorder="1" applyAlignment="1">
      <alignment horizontal="center" vertical="center" wrapText="1" readingOrder="1"/>
    </xf>
    <xf numFmtId="0" fontId="17" fillId="23" borderId="1" xfId="0" applyFont="1" applyFill="1" applyBorder="1" applyAlignment="1">
      <alignment horizontal="center" vertical="center" wrapText="1" readingOrder="1"/>
    </xf>
    <xf numFmtId="0" fontId="5" fillId="6" borderId="1" xfId="0" applyFont="1" applyFill="1" applyBorder="1" applyAlignment="1">
      <alignment horizontal="center" vertical="center" wrapText="1" readingOrder="1"/>
    </xf>
    <xf numFmtId="0" fontId="2" fillId="20" borderId="1" xfId="0" applyFont="1" applyFill="1" applyBorder="1" applyAlignment="1">
      <alignment horizontal="center" vertical="center" wrapText="1" readingOrder="1"/>
    </xf>
    <xf numFmtId="0" fontId="2" fillId="21" borderId="1" xfId="0" applyFont="1" applyFill="1" applyBorder="1" applyAlignment="1">
      <alignment horizontal="center" vertical="center" wrapText="1" readingOrder="1"/>
    </xf>
    <xf numFmtId="0" fontId="1" fillId="34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top" wrapText="1" readingOrder="1"/>
    </xf>
    <xf numFmtId="0" fontId="0" fillId="31" borderId="1" xfId="0" applyFill="1" applyBorder="1" applyAlignment="1">
      <alignment horizontal="center" vertical="top"/>
    </xf>
    <xf numFmtId="0" fontId="12" fillId="8" borderId="1" xfId="0" applyFont="1" applyFill="1" applyBorder="1" applyAlignment="1">
      <alignment horizontal="center" vertical="center" wrapText="1" readingOrder="1"/>
    </xf>
    <xf numFmtId="0" fontId="6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0" fillId="35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top" wrapText="1"/>
    </xf>
    <xf numFmtId="0" fontId="8" fillId="4" borderId="0" xfId="0" applyFont="1" applyFill="1" applyAlignment="1">
      <alignment horizontal="center" vertical="top" wrapText="1"/>
    </xf>
    <xf numFmtId="0" fontId="9" fillId="4" borderId="0" xfId="0" applyFont="1" applyFill="1" applyAlignment="1">
      <alignment horizontal="center" vertical="top"/>
    </xf>
    <xf numFmtId="0" fontId="0" fillId="10" borderId="0" xfId="0" applyFill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 wrapText="1" readingOrder="1"/>
    </xf>
    <xf numFmtId="1" fontId="3" fillId="16" borderId="1" xfId="0" applyNumberFormat="1" applyFont="1" applyFill="1" applyBorder="1" applyAlignment="1">
      <alignment horizontal="center" vertical="top" wrapText="1" readingOrder="1"/>
    </xf>
    <xf numFmtId="1" fontId="3" fillId="17" borderId="1" xfId="0" applyNumberFormat="1" applyFont="1" applyFill="1" applyBorder="1" applyAlignment="1">
      <alignment horizontal="center" vertical="center" wrapText="1" readingOrder="1"/>
    </xf>
    <xf numFmtId="0" fontId="0" fillId="38" borderId="1" xfId="0" applyFill="1" applyBorder="1" applyAlignment="1">
      <alignment horizontal="center" wrapText="1"/>
    </xf>
    <xf numFmtId="0" fontId="0" fillId="38" borderId="1" xfId="0" applyFill="1" applyBorder="1" applyAlignment="1">
      <alignment horizontal="center"/>
    </xf>
    <xf numFmtId="0" fontId="0" fillId="39" borderId="1" xfId="0" applyFill="1" applyBorder="1" applyAlignment="1">
      <alignment horizontal="center" vertical="center" wrapText="1"/>
    </xf>
    <xf numFmtId="0" fontId="0" fillId="39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3" fillId="4" borderId="2" xfId="0" applyFont="1" applyFill="1" applyBorder="1" applyAlignment="1">
      <alignment horizontal="center" vertical="center" wrapText="1"/>
    </xf>
    <xf numFmtId="0" fontId="19" fillId="38" borderId="1" xfId="0" applyFont="1" applyFill="1" applyBorder="1" applyAlignment="1">
      <alignment horizontal="center" vertical="center" wrapText="1"/>
    </xf>
    <xf numFmtId="0" fontId="19" fillId="3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1" borderId="1" xfId="0" applyFont="1" applyFill="1" applyBorder="1" applyAlignment="1">
      <alignment horizontal="center" vertical="center"/>
    </xf>
    <xf numFmtId="0" fontId="1" fillId="36" borderId="1" xfId="0" applyFont="1" applyFill="1" applyBorder="1" applyAlignment="1">
      <alignment horizontal="center" vertical="top" wrapText="1"/>
    </xf>
    <xf numFmtId="0" fontId="3" fillId="36" borderId="1" xfId="0" applyFont="1" applyFill="1" applyBorder="1" applyAlignment="1">
      <alignment horizontal="center" vertical="top" wrapText="1"/>
    </xf>
    <xf numFmtId="0" fontId="19" fillId="39" borderId="1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1" fillId="38" borderId="1" xfId="0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center" vertical="center" wrapText="1" readingOrder="1"/>
    </xf>
    <xf numFmtId="0" fontId="22" fillId="40" borderId="1" xfId="0" applyFont="1" applyFill="1" applyBorder="1" applyAlignment="1">
      <alignment horizontal="center" vertical="center" wrapText="1"/>
    </xf>
    <xf numFmtId="0" fontId="22" fillId="40" borderId="1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center" wrapText="1" readingOrder="1"/>
    </xf>
    <xf numFmtId="0" fontId="23" fillId="2" borderId="1" xfId="0" applyFont="1" applyFill="1" applyBorder="1" applyAlignment="1">
      <alignment horizontal="center" vertical="center" wrapText="1" readingOrder="1"/>
    </xf>
    <xf numFmtId="0" fontId="12" fillId="4" borderId="4" xfId="0" applyFont="1" applyFill="1" applyBorder="1" applyAlignment="1">
      <alignment horizontal="center" vertical="center" wrapText="1" readingOrder="1"/>
    </xf>
    <xf numFmtId="0" fontId="0" fillId="10" borderId="1" xfId="0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 readingOrder="1"/>
    </xf>
    <xf numFmtId="1" fontId="3" fillId="3" borderId="1" xfId="0" applyNumberFormat="1" applyFont="1" applyFill="1" applyBorder="1" applyAlignment="1">
      <alignment horizontal="center" vertical="top" wrapText="1" readingOrder="1"/>
    </xf>
    <xf numFmtId="1" fontId="3" fillId="4" borderId="1" xfId="0" applyNumberFormat="1" applyFont="1" applyFill="1" applyBorder="1" applyAlignment="1">
      <alignment horizontal="center" vertical="center" wrapText="1" readingOrder="1"/>
    </xf>
    <xf numFmtId="1" fontId="0" fillId="0" borderId="1" xfId="0" applyNumberFormat="1" applyBorder="1"/>
    <xf numFmtId="1" fontId="4" fillId="0" borderId="1" xfId="0" applyNumberFormat="1" applyFont="1" applyBorder="1" applyAlignment="1">
      <alignment wrapText="1"/>
    </xf>
    <xf numFmtId="1" fontId="4" fillId="0" borderId="1" xfId="0" applyNumberFormat="1" applyFont="1" applyBorder="1"/>
    <xf numFmtId="1" fontId="5" fillId="2" borderId="1" xfId="0" applyNumberFormat="1" applyFont="1" applyFill="1" applyBorder="1" applyAlignment="1">
      <alignment horizontal="center" vertical="center" wrapText="1" readingOrder="1"/>
    </xf>
    <xf numFmtId="1" fontId="0" fillId="0" borderId="4" xfId="0" applyNumberFormat="1" applyBorder="1"/>
    <xf numFmtId="1" fontId="13" fillId="0" borderId="1" xfId="0" applyNumberFormat="1" applyFont="1" applyBorder="1" applyAlignment="1">
      <alignment wrapText="1"/>
    </xf>
    <xf numFmtId="1" fontId="14" fillId="0" borderId="1" xfId="0" applyNumberFormat="1" applyFont="1" applyBorder="1"/>
    <xf numFmtId="1" fontId="0" fillId="0" borderId="0" xfId="0" applyNumberFormat="1"/>
    <xf numFmtId="1" fontId="4" fillId="0" borderId="1" xfId="0" applyNumberFormat="1" applyFont="1" applyBorder="1" applyAlignment="1">
      <alignment horizontal="left" wrapText="1" readingOrder="1"/>
    </xf>
    <xf numFmtId="0" fontId="15" fillId="21" borderId="1" xfId="189" applyFill="1" applyBorder="1" applyAlignment="1">
      <alignment horizontal="center" vertical="center" wrapText="1" readingOrder="1"/>
    </xf>
    <xf numFmtId="0" fontId="0" fillId="38" borderId="1" xfId="0" applyFill="1" applyBorder="1" applyAlignment="1">
      <alignment horizontal="center" vertical="center" wrapText="1"/>
    </xf>
    <xf numFmtId="0" fontId="0" fillId="38" borderId="1" xfId="0" applyFill="1" applyBorder="1" applyAlignment="1">
      <alignment horizontal="center" vertical="top" wrapText="1"/>
    </xf>
    <xf numFmtId="0" fontId="20" fillId="38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38" borderId="1" xfId="0" applyFill="1" applyBorder="1" applyAlignment="1">
      <alignment horizontal="center" vertical="center"/>
    </xf>
    <xf numFmtId="0" fontId="15" fillId="0" borderId="1" xfId="189" applyBorder="1" applyAlignment="1">
      <alignment horizontal="left" wrapText="1" readingOrder="1"/>
    </xf>
    <xf numFmtId="0" fontId="2" fillId="42" borderId="1" xfId="0" applyFont="1" applyFill="1" applyBorder="1" applyAlignment="1">
      <alignment horizontal="center" vertical="center" wrapText="1"/>
    </xf>
    <xf numFmtId="0" fontId="2" fillId="42" borderId="3" xfId="0" applyFont="1" applyFill="1" applyBorder="1" applyAlignment="1">
      <alignment horizontal="center" vertical="center" wrapText="1"/>
    </xf>
    <xf numFmtId="0" fontId="1" fillId="42" borderId="3" xfId="0" applyFont="1" applyFill="1" applyBorder="1" applyAlignment="1">
      <alignment horizontal="center" vertical="center" wrapText="1"/>
    </xf>
    <xf numFmtId="0" fontId="20" fillId="0" borderId="1" xfId="0" applyFont="1" applyBorder="1"/>
    <xf numFmtId="0" fontId="12" fillId="5" borderId="1" xfId="0" applyFont="1" applyFill="1" applyBorder="1" applyAlignment="1">
      <alignment horizontal="left" vertical="top" readingOrder="1"/>
    </xf>
  </cellXfs>
  <cellStyles count="243">
    <cellStyle name="Followed Hyperlink" xfId="1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Hyperlink" xfId="2" builtinId="8" hidden="1"/>
    <cellStyle name="Hyperlink" xfId="4" builtinId="8" hidden="1"/>
    <cellStyle name="Hyperlink" xfId="6" builtinId="8" hidden="1"/>
    <cellStyle name="Hyperlink" xfId="189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schuur@uf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6"/>
  <sheetViews>
    <sheetView zoomScale="85" zoomScaleNormal="85" zoomScalePageLayoutView="85" workbookViewId="0">
      <selection activeCell="M4" sqref="M4"/>
    </sheetView>
  </sheetViews>
  <sheetFormatPr baseColWidth="10" defaultColWidth="15.1640625" defaultRowHeight="15" customHeight="1" x14ac:dyDescent="0.2"/>
  <cols>
    <col min="1" max="1" width="14.5" style="3" customWidth="1"/>
    <col min="2" max="3" width="15.5" style="3" customWidth="1"/>
    <col min="4" max="4" width="13.1640625" style="3" customWidth="1"/>
    <col min="5" max="5" width="19.5" style="3" customWidth="1"/>
    <col min="6" max="6" width="13.1640625" style="3" customWidth="1"/>
    <col min="7" max="7" width="18.83203125" style="115" bestFit="1" customWidth="1"/>
    <col min="8" max="8" width="19.5" style="115" bestFit="1" customWidth="1"/>
    <col min="9" max="9" width="21.5" style="115" bestFit="1" customWidth="1"/>
    <col min="10" max="10" width="14.1640625" style="3" customWidth="1"/>
    <col min="11" max="11" width="13.1640625" style="3" customWidth="1"/>
    <col min="12" max="12" width="18" style="3" customWidth="1"/>
    <col min="13" max="13" width="43.5" style="3" customWidth="1"/>
    <col min="14" max="14" width="21.5" style="3" customWidth="1"/>
    <col min="15" max="15" width="47.1640625" style="3" bestFit="1" customWidth="1"/>
    <col min="16" max="16384" width="15.1640625" style="3"/>
  </cols>
  <sheetData>
    <row r="1" spans="1:15" s="21" customFormat="1" ht="18" customHeight="1" x14ac:dyDescent="0.2">
      <c r="A1" s="18" t="s">
        <v>673</v>
      </c>
      <c r="B1" s="18" t="s">
        <v>677</v>
      </c>
      <c r="C1" s="19" t="s">
        <v>770</v>
      </c>
      <c r="D1" s="18" t="s">
        <v>0</v>
      </c>
      <c r="E1" s="18" t="s">
        <v>1</v>
      </c>
      <c r="F1" s="18" t="s">
        <v>2</v>
      </c>
      <c r="G1" s="118" t="s">
        <v>752</v>
      </c>
      <c r="H1" s="118" t="s">
        <v>753</v>
      </c>
      <c r="I1" s="118" t="s">
        <v>754</v>
      </c>
      <c r="J1" s="18" t="s">
        <v>3</v>
      </c>
      <c r="K1" s="18" t="s">
        <v>4</v>
      </c>
      <c r="L1" s="19" t="s">
        <v>5</v>
      </c>
      <c r="M1" s="18" t="s">
        <v>367</v>
      </c>
      <c r="N1" s="20" t="s">
        <v>247</v>
      </c>
      <c r="O1" s="20" t="s">
        <v>434</v>
      </c>
    </row>
    <row r="2" spans="1:15" s="21" customFormat="1" ht="25.5" customHeight="1" x14ac:dyDescent="0.2">
      <c r="A2" s="22" t="s">
        <v>674</v>
      </c>
      <c r="B2" s="22" t="s">
        <v>676</v>
      </c>
      <c r="C2" s="22" t="s">
        <v>771</v>
      </c>
      <c r="D2" s="22" t="s">
        <v>6</v>
      </c>
      <c r="E2" s="22" t="s">
        <v>7</v>
      </c>
      <c r="F2" s="22" t="s">
        <v>8</v>
      </c>
      <c r="G2" s="113" t="s">
        <v>755</v>
      </c>
      <c r="H2" s="113" t="s">
        <v>756</v>
      </c>
      <c r="I2" s="113" t="s">
        <v>757</v>
      </c>
      <c r="J2" s="22" t="s">
        <v>9</v>
      </c>
      <c r="K2" s="22" t="s">
        <v>10</v>
      </c>
      <c r="L2" s="22" t="s">
        <v>11</v>
      </c>
      <c r="M2" s="22" t="s">
        <v>12</v>
      </c>
      <c r="N2" s="23" t="s">
        <v>295</v>
      </c>
      <c r="O2" s="23" t="s">
        <v>368</v>
      </c>
    </row>
    <row r="3" spans="1:15" s="34" customFormat="1" ht="31" customHeight="1" x14ac:dyDescent="0.2">
      <c r="A3" s="28" t="s">
        <v>366</v>
      </c>
      <c r="B3" s="28"/>
      <c r="C3" s="28"/>
      <c r="D3" s="28" t="s">
        <v>245</v>
      </c>
      <c r="E3" s="28" t="s">
        <v>243</v>
      </c>
      <c r="F3" s="28" t="s">
        <v>244</v>
      </c>
      <c r="G3" s="114" t="s">
        <v>735</v>
      </c>
      <c r="H3" s="114" t="s">
        <v>34</v>
      </c>
      <c r="I3" s="114" t="s">
        <v>736</v>
      </c>
      <c r="J3" s="28" t="s">
        <v>274</v>
      </c>
      <c r="K3" s="28" t="s">
        <v>293</v>
      </c>
      <c r="L3" s="28" t="s">
        <v>294</v>
      </c>
      <c r="M3" s="28" t="s">
        <v>13</v>
      </c>
      <c r="N3" s="109"/>
      <c r="O3" s="109" t="s">
        <v>365</v>
      </c>
    </row>
    <row r="4" spans="1:15" ht="60" x14ac:dyDescent="0.2">
      <c r="A4" s="14" t="s">
        <v>810</v>
      </c>
      <c r="B4" s="14" t="s">
        <v>811</v>
      </c>
      <c r="D4" s="14" t="s">
        <v>863</v>
      </c>
      <c r="E4" s="14" t="s">
        <v>812</v>
      </c>
      <c r="F4" s="14" t="s">
        <v>864</v>
      </c>
      <c r="G4" s="123">
        <v>2019</v>
      </c>
      <c r="H4" s="123">
        <v>1</v>
      </c>
      <c r="I4" s="123">
        <v>10</v>
      </c>
      <c r="J4" s="14" t="s">
        <v>813</v>
      </c>
      <c r="K4" s="130" t="s">
        <v>814</v>
      </c>
      <c r="L4" s="14"/>
      <c r="M4" s="14" t="s">
        <v>815</v>
      </c>
      <c r="N4" s="14"/>
    </row>
    <row r="5" spans="1:15" x14ac:dyDescent="0.2">
      <c r="A5" s="14"/>
      <c r="B5" s="14"/>
      <c r="C5" s="14"/>
      <c r="D5" s="14"/>
      <c r="E5" s="14"/>
      <c r="F5" s="14"/>
      <c r="G5" s="123"/>
      <c r="H5" s="123"/>
      <c r="I5" s="123"/>
      <c r="J5" s="14"/>
      <c r="K5" s="14"/>
      <c r="L5" s="14"/>
      <c r="M5" s="14"/>
      <c r="N5" s="14"/>
    </row>
    <row r="6" spans="1:15" x14ac:dyDescent="0.2">
      <c r="A6" s="14"/>
      <c r="B6" s="14"/>
      <c r="C6" s="14"/>
      <c r="D6" s="14"/>
      <c r="E6" s="14"/>
      <c r="F6" s="14"/>
      <c r="G6" s="123"/>
      <c r="H6" s="123"/>
      <c r="I6" s="123"/>
      <c r="J6" s="14"/>
      <c r="K6" s="14"/>
      <c r="L6" s="14"/>
      <c r="M6" s="14"/>
      <c r="N6" s="14"/>
    </row>
    <row r="7" spans="1:15" x14ac:dyDescent="0.2">
      <c r="A7" s="14"/>
      <c r="B7" s="14"/>
      <c r="C7" s="14"/>
      <c r="D7" s="14"/>
      <c r="E7" s="14"/>
      <c r="F7" s="14"/>
      <c r="G7" s="123"/>
      <c r="H7" s="123"/>
      <c r="I7" s="123"/>
      <c r="J7" s="14"/>
      <c r="K7" s="14"/>
      <c r="L7" s="14"/>
      <c r="M7" s="14"/>
      <c r="N7" s="14"/>
    </row>
    <row r="8" spans="1:15" x14ac:dyDescent="0.2"/>
    <row r="9" spans="1:15" x14ac:dyDescent="0.2"/>
    <row r="10" spans="1:15" x14ac:dyDescent="0.2"/>
    <row r="11" spans="1:15" x14ac:dyDescent="0.2"/>
    <row r="12" spans="1:15" x14ac:dyDescent="0.2"/>
    <row r="13" spans="1:15" x14ac:dyDescent="0.2"/>
    <row r="14" spans="1:15" x14ac:dyDescent="0.2"/>
    <row r="15" spans="1:15" x14ac:dyDescent="0.2"/>
    <row r="16" spans="1:15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</sheetData>
  <hyperlinks>
    <hyperlink ref="K4" r:id="rId1" xr:uid="{00000000-0004-0000-0000-000000000000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P1" workbookViewId="0">
      <selection activeCell="C4" sqref="C4:D4"/>
    </sheetView>
  </sheetViews>
  <sheetFormatPr baseColWidth="10" defaultColWidth="15.1640625" defaultRowHeight="15" customHeight="1" x14ac:dyDescent="0.2"/>
  <cols>
    <col min="1" max="1" width="14.5" style="3" customWidth="1"/>
    <col min="2" max="2" width="14.5" style="10" bestFit="1" customWidth="1"/>
    <col min="3" max="3" width="8.5" style="10" customWidth="1"/>
    <col min="4" max="4" width="9.5" style="10" bestFit="1" customWidth="1"/>
    <col min="5" max="5" width="12.5" style="3" customWidth="1"/>
    <col min="6" max="6" width="13.1640625" style="3" bestFit="1" customWidth="1"/>
    <col min="7" max="7" width="33.1640625" style="3" customWidth="1"/>
    <col min="8" max="16384" width="15.1640625" style="3"/>
  </cols>
  <sheetData>
    <row r="1" spans="1:7" s="21" customFormat="1" ht="20.25" customHeight="1" x14ac:dyDescent="0.2">
      <c r="A1" s="18" t="s">
        <v>673</v>
      </c>
      <c r="B1" s="18" t="s">
        <v>14</v>
      </c>
      <c r="C1" s="18" t="s">
        <v>435</v>
      </c>
      <c r="D1" s="18" t="s">
        <v>436</v>
      </c>
      <c r="E1" s="24" t="s">
        <v>437</v>
      </c>
      <c r="F1" s="25" t="s">
        <v>438</v>
      </c>
      <c r="G1" s="24" t="s">
        <v>15</v>
      </c>
    </row>
    <row r="2" spans="1:7" s="21" customFormat="1" ht="27.75" customHeight="1" x14ac:dyDescent="0.2">
      <c r="A2" s="22" t="s">
        <v>674</v>
      </c>
      <c r="B2" s="26" t="s">
        <v>16</v>
      </c>
      <c r="C2" s="26" t="s">
        <v>17</v>
      </c>
      <c r="D2" s="26" t="s">
        <v>18</v>
      </c>
      <c r="E2" s="22" t="s">
        <v>19</v>
      </c>
      <c r="F2" s="22" t="s">
        <v>21</v>
      </c>
      <c r="G2" s="22" t="s">
        <v>20</v>
      </c>
    </row>
    <row r="3" spans="1:7" s="34" customFormat="1" ht="30" customHeight="1" x14ac:dyDescent="0.2">
      <c r="A3" s="28" t="s">
        <v>366</v>
      </c>
      <c r="B3" s="27"/>
      <c r="C3" s="27" t="s">
        <v>31</v>
      </c>
      <c r="D3" s="27" t="s">
        <v>31</v>
      </c>
      <c r="E3" s="28" t="s">
        <v>32</v>
      </c>
      <c r="F3" s="28" t="s">
        <v>33</v>
      </c>
      <c r="G3" s="28"/>
    </row>
    <row r="4" spans="1:7" x14ac:dyDescent="0.2">
      <c r="A4" s="14" t="s">
        <v>810</v>
      </c>
      <c r="B4" s="8" t="s">
        <v>817</v>
      </c>
      <c r="C4" s="13">
        <v>69.516666999999998</v>
      </c>
      <c r="D4" s="13">
        <v>161.86666700000001</v>
      </c>
      <c r="E4" s="5" t="s">
        <v>226</v>
      </c>
      <c r="F4" s="13"/>
      <c r="G4" s="13" t="s">
        <v>816</v>
      </c>
    </row>
    <row r="5" spans="1:7" x14ac:dyDescent="0.2">
      <c r="A5" s="14" t="s">
        <v>810</v>
      </c>
      <c r="B5" s="8" t="s">
        <v>821</v>
      </c>
      <c r="C5" s="13">
        <v>69.650000000000006</v>
      </c>
      <c r="D5" s="13">
        <v>162.51666700000001</v>
      </c>
      <c r="E5" s="5" t="s">
        <v>226</v>
      </c>
      <c r="F5" s="13"/>
      <c r="G5" s="13" t="s">
        <v>816</v>
      </c>
    </row>
    <row r="6" spans="1:7" x14ac:dyDescent="0.2">
      <c r="A6" s="14" t="s">
        <v>810</v>
      </c>
      <c r="B6" s="8" t="s">
        <v>822</v>
      </c>
      <c r="C6" s="13">
        <v>68.616667000000007</v>
      </c>
      <c r="D6" s="13">
        <v>159.033333</v>
      </c>
      <c r="E6" s="5" t="s">
        <v>226</v>
      </c>
      <c r="F6" s="13"/>
      <c r="G6" s="13" t="s">
        <v>816</v>
      </c>
    </row>
    <row r="7" spans="1:7" x14ac:dyDescent="0.2">
      <c r="A7" s="14" t="s">
        <v>810</v>
      </c>
      <c r="B7" s="8" t="s">
        <v>824</v>
      </c>
      <c r="C7" s="13">
        <v>68.8</v>
      </c>
      <c r="D7" s="13">
        <v>161.38333299999999</v>
      </c>
      <c r="E7" s="5" t="s">
        <v>226</v>
      </c>
      <c r="F7" s="13"/>
      <c r="G7" s="13" t="s">
        <v>816</v>
      </c>
    </row>
    <row r="8" spans="1:7" x14ac:dyDescent="0.2">
      <c r="B8" s="8"/>
      <c r="C8" s="8"/>
      <c r="D8" s="8"/>
      <c r="E8" s="13"/>
      <c r="F8" s="13"/>
      <c r="G8" s="13"/>
    </row>
    <row r="9" spans="1:7" x14ac:dyDescent="0.2">
      <c r="B9" s="8"/>
      <c r="C9" s="8"/>
      <c r="D9" s="8"/>
      <c r="E9" s="13"/>
      <c r="F9" s="13"/>
      <c r="G9" s="13"/>
    </row>
    <row r="10" spans="1:7" x14ac:dyDescent="0.2">
      <c r="B10" s="8"/>
      <c r="C10" s="8"/>
      <c r="D10" s="8"/>
      <c r="E10" s="13"/>
      <c r="F10" s="13"/>
      <c r="G10" s="13"/>
    </row>
    <row r="11" spans="1:7" x14ac:dyDescent="0.2">
      <c r="B11" s="8"/>
      <c r="C11" s="8"/>
      <c r="D11" s="8"/>
      <c r="E11" s="13"/>
      <c r="F11" s="13"/>
      <c r="G11" s="13"/>
    </row>
    <row r="12" spans="1:7" x14ac:dyDescent="0.2">
      <c r="B12" s="8"/>
      <c r="C12" s="8"/>
      <c r="D12" s="8"/>
      <c r="E12" s="13"/>
      <c r="F12" s="13"/>
      <c r="G12" s="13"/>
    </row>
    <row r="13" spans="1:7" x14ac:dyDescent="0.2">
      <c r="B13" s="8"/>
      <c r="C13" s="8"/>
      <c r="D13" s="8"/>
      <c r="E13" s="13"/>
      <c r="F13" s="13"/>
      <c r="G13" s="13"/>
    </row>
    <row r="14" spans="1:7" x14ac:dyDescent="0.2">
      <c r="B14" s="8"/>
      <c r="C14" s="8"/>
      <c r="D14" s="8"/>
      <c r="E14" s="13"/>
      <c r="F14" s="13"/>
      <c r="G14" s="13"/>
    </row>
    <row r="15" spans="1:7" x14ac:dyDescent="0.2">
      <c r="B15" s="8"/>
      <c r="C15" s="8"/>
      <c r="D15" s="8"/>
      <c r="E15" s="13"/>
      <c r="F15" s="13"/>
      <c r="G15" s="13"/>
    </row>
    <row r="16" spans="1:7" x14ac:dyDescent="0.2">
      <c r="B16" s="8"/>
      <c r="C16" s="8"/>
      <c r="D16" s="8"/>
      <c r="E16" s="13"/>
      <c r="F16" s="13"/>
      <c r="G16" s="13"/>
    </row>
    <row r="17" spans="2:7" x14ac:dyDescent="0.2">
      <c r="B17" s="8"/>
      <c r="C17" s="8"/>
      <c r="D17" s="8"/>
      <c r="E17" s="13"/>
      <c r="F17" s="13"/>
      <c r="G17" s="13"/>
    </row>
    <row r="18" spans="2:7" x14ac:dyDescent="0.2">
      <c r="B18" s="8"/>
      <c r="C18" s="8"/>
      <c r="D18" s="8"/>
      <c r="E18" s="13"/>
      <c r="F18" s="13"/>
      <c r="G18" s="13"/>
    </row>
    <row r="19" spans="2:7" x14ac:dyDescent="0.2">
      <c r="B19" s="8"/>
      <c r="C19" s="8"/>
      <c r="D19" s="8"/>
      <c r="E19" s="13"/>
      <c r="F19" s="13"/>
      <c r="G19" s="13"/>
    </row>
    <row r="20" spans="2:7" x14ac:dyDescent="0.2">
      <c r="B20" s="8"/>
      <c r="C20" s="8"/>
      <c r="D20" s="8"/>
      <c r="E20" s="13"/>
      <c r="F20" s="13"/>
      <c r="G20" s="13"/>
    </row>
    <row r="21" spans="2:7" x14ac:dyDescent="0.2">
      <c r="B21" s="8"/>
      <c r="C21" s="8"/>
      <c r="D21" s="8"/>
      <c r="E21" s="13"/>
      <c r="F21" s="13"/>
      <c r="G21" s="13"/>
    </row>
    <row r="22" spans="2:7" x14ac:dyDescent="0.2">
      <c r="B22" s="8"/>
      <c r="C22" s="8"/>
      <c r="D22" s="8"/>
      <c r="E22" s="13"/>
      <c r="F22" s="13"/>
      <c r="G22" s="13"/>
    </row>
    <row r="23" spans="2:7" x14ac:dyDescent="0.2">
      <c r="B23" s="8"/>
      <c r="C23" s="8"/>
      <c r="D23" s="8"/>
      <c r="E23" s="13"/>
      <c r="F23" s="13"/>
      <c r="G23" s="13"/>
    </row>
    <row r="24" spans="2:7" x14ac:dyDescent="0.2">
      <c r="B24" s="8"/>
      <c r="C24" s="8"/>
      <c r="D24" s="8"/>
      <c r="E24" s="13"/>
      <c r="F24" s="13"/>
      <c r="G24" s="13"/>
    </row>
    <row r="25" spans="2:7" x14ac:dyDescent="0.2">
      <c r="B25" s="8"/>
      <c r="C25" s="8"/>
      <c r="D25" s="8"/>
      <c r="E25" s="13"/>
      <c r="F25" s="13"/>
      <c r="G25" s="13"/>
    </row>
    <row r="26" spans="2:7" x14ac:dyDescent="0.2">
      <c r="B26" s="8"/>
      <c r="C26" s="8"/>
      <c r="D26" s="8"/>
      <c r="E26" s="13"/>
      <c r="F26" s="13"/>
      <c r="G26" s="13"/>
    </row>
    <row r="27" spans="2:7" x14ac:dyDescent="0.2">
      <c r="B27" s="8"/>
      <c r="C27" s="8"/>
      <c r="D27" s="8"/>
      <c r="E27" s="13"/>
      <c r="F27" s="13"/>
      <c r="G27" s="13"/>
    </row>
    <row r="28" spans="2:7" x14ac:dyDescent="0.2">
      <c r="B28" s="8"/>
      <c r="C28" s="8"/>
      <c r="D28" s="8"/>
      <c r="E28" s="13"/>
      <c r="F28" s="13"/>
      <c r="G28" s="13"/>
    </row>
    <row r="29" spans="2:7" x14ac:dyDescent="0.2"/>
    <row r="30" spans="2:7" x14ac:dyDescent="0.2"/>
    <row r="31" spans="2:7" x14ac:dyDescent="0.2"/>
    <row r="32" spans="2:7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100-000000000000}">
          <x14:formula1>
            <xm:f>'controlled vocabulary'!$A$4:$A$10</xm:f>
          </x14:formula1>
          <xm:sqref>E4:E1048576</xm:sqref>
        </x14:dataValidation>
        <x14:dataValidation type="list" allowBlank="1" showInputMessage="1" showErrorMessage="1" xr:uid="{00000000-0002-0000-0100-000001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998"/>
  <sheetViews>
    <sheetView showZeros="0" workbookViewId="0">
      <selection activeCell="G14" sqref="G14"/>
    </sheetView>
  </sheetViews>
  <sheetFormatPr baseColWidth="10" defaultColWidth="15.1640625" defaultRowHeight="15" customHeight="1" x14ac:dyDescent="0.2"/>
  <cols>
    <col min="1" max="1" width="14.5" style="3" customWidth="1"/>
    <col min="2" max="3" width="14.5" style="10" bestFit="1" customWidth="1"/>
    <col min="4" max="4" width="14.5" style="10" customWidth="1"/>
    <col min="5" max="8" width="13.1640625" style="3" customWidth="1"/>
    <col min="9" max="9" width="16.5" style="3" customWidth="1"/>
    <col min="10" max="10" width="21.5" style="3" bestFit="1" customWidth="1"/>
    <col min="11" max="11" width="15.5" style="3" customWidth="1"/>
    <col min="12" max="12" width="24" style="3" customWidth="1"/>
    <col min="13" max="14" width="11.5" style="3" bestFit="1" customWidth="1"/>
    <col min="15" max="15" width="11.5" style="3" customWidth="1"/>
    <col min="16" max="17" width="13.83203125" style="3" customWidth="1"/>
    <col min="18" max="18" width="17.5" style="3" bestFit="1" customWidth="1"/>
    <col min="19" max="19" width="17.5" style="3" customWidth="1"/>
    <col min="20" max="21" width="10" style="3" customWidth="1"/>
    <col min="22" max="22" width="13.5" style="3" bestFit="1" customWidth="1"/>
    <col min="23" max="23" width="14.5" style="3" bestFit="1" customWidth="1"/>
    <col min="24" max="24" width="10.5" style="3" bestFit="1" customWidth="1"/>
    <col min="25" max="27" width="10.5" style="3" customWidth="1"/>
    <col min="28" max="28" width="22.83203125" style="3" bestFit="1" customWidth="1"/>
    <col min="29" max="29" width="11.5" style="3" bestFit="1" customWidth="1"/>
    <col min="30" max="31" width="14.5" style="3" customWidth="1"/>
    <col min="32" max="32" width="15.1640625" style="3"/>
    <col min="33" max="33" width="18.83203125" style="3" customWidth="1"/>
    <col min="34" max="34" width="20.1640625" style="3" customWidth="1"/>
    <col min="35" max="35" width="15.1640625" style="3"/>
    <col min="36" max="36" width="21.5" style="3" customWidth="1"/>
    <col min="37" max="37" width="12.5" style="3" customWidth="1"/>
    <col min="38" max="38" width="15.1640625" style="3" customWidth="1"/>
    <col min="39" max="39" width="17.5" style="3" customWidth="1"/>
    <col min="40" max="42" width="15.1640625" style="3" customWidth="1"/>
    <col min="43" max="16384" width="15.1640625" style="3"/>
  </cols>
  <sheetData>
    <row r="1" spans="1:45" s="21" customFormat="1" ht="21.75" customHeight="1" x14ac:dyDescent="0.2">
      <c r="A1" s="18" t="s">
        <v>673</v>
      </c>
      <c r="B1" s="18" t="s">
        <v>14</v>
      </c>
      <c r="C1" s="19" t="s">
        <v>628</v>
      </c>
      <c r="D1" s="18" t="s">
        <v>462</v>
      </c>
      <c r="E1" s="24" t="s">
        <v>461</v>
      </c>
      <c r="F1" s="24" t="s">
        <v>463</v>
      </c>
      <c r="G1" s="24" t="s">
        <v>464</v>
      </c>
      <c r="H1" s="25" t="s">
        <v>889</v>
      </c>
      <c r="I1" s="18" t="s">
        <v>465</v>
      </c>
      <c r="J1" s="25" t="s">
        <v>466</v>
      </c>
      <c r="K1" s="24" t="s">
        <v>467</v>
      </c>
      <c r="L1" s="24" t="s">
        <v>468</v>
      </c>
      <c r="M1" s="25" t="s">
        <v>469</v>
      </c>
      <c r="N1" s="25" t="s">
        <v>470</v>
      </c>
      <c r="O1" s="25" t="s">
        <v>865</v>
      </c>
      <c r="P1" s="25" t="s">
        <v>472</v>
      </c>
      <c r="Q1" s="25" t="s">
        <v>471</v>
      </c>
      <c r="R1" s="25" t="s">
        <v>678</v>
      </c>
      <c r="S1" s="20" t="s">
        <v>893</v>
      </c>
      <c r="T1" s="25" t="s">
        <v>473</v>
      </c>
      <c r="U1" s="25" t="s">
        <v>895</v>
      </c>
      <c r="V1" s="25" t="s">
        <v>474</v>
      </c>
      <c r="W1" s="25" t="s">
        <v>475</v>
      </c>
      <c r="X1" s="19" t="s">
        <v>476</v>
      </c>
      <c r="Y1" s="19" t="s">
        <v>878</v>
      </c>
      <c r="Z1" s="19" t="s">
        <v>879</v>
      </c>
      <c r="AA1" s="19" t="s">
        <v>880</v>
      </c>
      <c r="AB1" s="24" t="s">
        <v>477</v>
      </c>
      <c r="AC1" s="24" t="s">
        <v>903</v>
      </c>
      <c r="AD1" s="24" t="s">
        <v>478</v>
      </c>
      <c r="AE1" s="20" t="s">
        <v>906</v>
      </c>
      <c r="AF1" s="19" t="s">
        <v>479</v>
      </c>
      <c r="AG1" s="24" t="s">
        <v>480</v>
      </c>
      <c r="AH1" s="19" t="s">
        <v>481</v>
      </c>
      <c r="AI1" s="19" t="s">
        <v>482</v>
      </c>
      <c r="AJ1" s="19" t="s">
        <v>483</v>
      </c>
      <c r="AK1" s="24" t="s">
        <v>484</v>
      </c>
      <c r="AL1" s="24" t="s">
        <v>485</v>
      </c>
      <c r="AM1" s="24" t="s">
        <v>486</v>
      </c>
      <c r="AN1" s="24" t="s">
        <v>487</v>
      </c>
      <c r="AO1" s="19" t="s">
        <v>488</v>
      </c>
      <c r="AP1" s="19" t="s">
        <v>489</v>
      </c>
      <c r="AQ1" s="24" t="s">
        <v>490</v>
      </c>
      <c r="AR1" s="24" t="s">
        <v>491</v>
      </c>
      <c r="AS1" s="24" t="s">
        <v>492</v>
      </c>
    </row>
    <row r="2" spans="1:45" s="21" customFormat="1" ht="54" customHeight="1" x14ac:dyDescent="0.2">
      <c r="A2" s="22" t="s">
        <v>674</v>
      </c>
      <c r="B2" s="26" t="s">
        <v>16</v>
      </c>
      <c r="C2" s="26" t="s">
        <v>375</v>
      </c>
      <c r="D2" s="26" t="s">
        <v>332</v>
      </c>
      <c r="E2" s="22" t="s">
        <v>46</v>
      </c>
      <c r="F2" s="26" t="s">
        <v>17</v>
      </c>
      <c r="G2" s="26" t="s">
        <v>18</v>
      </c>
      <c r="H2" s="69" t="s">
        <v>21</v>
      </c>
      <c r="I2" s="29" t="s">
        <v>327</v>
      </c>
      <c r="J2" s="31" t="s">
        <v>374</v>
      </c>
      <c r="K2" s="22" t="s">
        <v>373</v>
      </c>
      <c r="L2" s="29" t="s">
        <v>324</v>
      </c>
      <c r="M2" s="31" t="s">
        <v>309</v>
      </c>
      <c r="N2" s="31" t="s">
        <v>310</v>
      </c>
      <c r="O2" s="31" t="s">
        <v>890</v>
      </c>
      <c r="P2" s="31" t="s">
        <v>680</v>
      </c>
      <c r="Q2" s="31" t="s">
        <v>892</v>
      </c>
      <c r="R2" s="31" t="s">
        <v>679</v>
      </c>
      <c r="S2" s="69" t="s">
        <v>894</v>
      </c>
      <c r="T2" s="31" t="s">
        <v>372</v>
      </c>
      <c r="U2" s="31" t="s">
        <v>896</v>
      </c>
      <c r="V2" s="31" t="s">
        <v>370</v>
      </c>
      <c r="W2" s="30" t="s">
        <v>323</v>
      </c>
      <c r="X2" s="22" t="s">
        <v>30</v>
      </c>
      <c r="Y2" s="22" t="s">
        <v>897</v>
      </c>
      <c r="Z2" s="22" t="s">
        <v>898</v>
      </c>
      <c r="AA2" s="22" t="s">
        <v>899</v>
      </c>
      <c r="AB2" s="22" t="s">
        <v>47</v>
      </c>
      <c r="AC2" s="22" t="s">
        <v>904</v>
      </c>
      <c r="AD2" s="22" t="s">
        <v>49</v>
      </c>
      <c r="AE2" s="31" t="s">
        <v>907</v>
      </c>
      <c r="AF2" s="22" t="s">
        <v>27</v>
      </c>
      <c r="AG2" s="22" t="s">
        <v>50</v>
      </c>
      <c r="AH2" s="22" t="s">
        <v>28</v>
      </c>
      <c r="AI2" s="22" t="s">
        <v>29</v>
      </c>
      <c r="AJ2" s="22" t="s">
        <v>369</v>
      </c>
      <c r="AK2" s="22" t="s">
        <v>48</v>
      </c>
      <c r="AL2" s="22" t="s">
        <v>23</v>
      </c>
      <c r="AM2" s="22" t="s">
        <v>22</v>
      </c>
      <c r="AN2" s="22" t="s">
        <v>24</v>
      </c>
      <c r="AO2" s="22" t="s">
        <v>25</v>
      </c>
      <c r="AP2" s="22" t="s">
        <v>26</v>
      </c>
      <c r="AQ2" s="22" t="s">
        <v>51</v>
      </c>
      <c r="AR2" s="22" t="s">
        <v>52</v>
      </c>
      <c r="AS2" s="22" t="s">
        <v>53</v>
      </c>
    </row>
    <row r="3" spans="1:45" s="34" customFormat="1" ht="27" customHeight="1" x14ac:dyDescent="0.2">
      <c r="A3" s="28" t="s">
        <v>366</v>
      </c>
      <c r="B3" s="27"/>
      <c r="C3" s="27"/>
      <c r="D3" s="27"/>
      <c r="E3" s="28" t="s">
        <v>330</v>
      </c>
      <c r="F3" s="27" t="s">
        <v>31</v>
      </c>
      <c r="G3" s="27" t="s">
        <v>31</v>
      </c>
      <c r="H3" s="71" t="s">
        <v>33</v>
      </c>
      <c r="I3" s="28" t="s">
        <v>376</v>
      </c>
      <c r="J3" s="28"/>
      <c r="K3" s="28" t="s">
        <v>377</v>
      </c>
      <c r="L3" s="28" t="s">
        <v>378</v>
      </c>
      <c r="M3" s="32" t="s">
        <v>321</v>
      </c>
      <c r="N3" s="33" t="s">
        <v>34</v>
      </c>
      <c r="O3" s="32" t="s">
        <v>891</v>
      </c>
      <c r="P3" s="32"/>
      <c r="Q3" s="32"/>
      <c r="R3" s="32" t="s">
        <v>806</v>
      </c>
      <c r="S3" s="71"/>
      <c r="T3" s="32" t="s">
        <v>371</v>
      </c>
      <c r="U3" s="32"/>
      <c r="V3" s="32" t="s">
        <v>321</v>
      </c>
      <c r="W3" s="33" t="s">
        <v>37</v>
      </c>
      <c r="X3" s="28" t="s">
        <v>44</v>
      </c>
      <c r="Y3" s="28" t="s">
        <v>900</v>
      </c>
      <c r="Z3" s="28" t="s">
        <v>901</v>
      </c>
      <c r="AA3" s="28" t="s">
        <v>902</v>
      </c>
      <c r="AB3" s="28" t="s">
        <v>43</v>
      </c>
      <c r="AC3" s="28" t="s">
        <v>905</v>
      </c>
      <c r="AD3" s="28" t="s">
        <v>40</v>
      </c>
      <c r="AE3" s="32"/>
      <c r="AF3" s="28" t="s">
        <v>40</v>
      </c>
      <c r="AG3" s="28" t="s">
        <v>40</v>
      </c>
      <c r="AH3" s="28" t="s">
        <v>41</v>
      </c>
      <c r="AI3" s="28" t="s">
        <v>42</v>
      </c>
      <c r="AJ3" s="28" t="s">
        <v>288</v>
      </c>
      <c r="AK3" s="28" t="s">
        <v>54</v>
      </c>
      <c r="AL3" s="28" t="s">
        <v>36</v>
      </c>
      <c r="AM3" s="28" t="s">
        <v>35</v>
      </c>
      <c r="AN3" s="28" t="s">
        <v>37</v>
      </c>
      <c r="AO3" s="28" t="s">
        <v>38</v>
      </c>
      <c r="AP3" s="28" t="s">
        <v>39</v>
      </c>
      <c r="AQ3" s="28" t="s">
        <v>45</v>
      </c>
      <c r="AR3" s="28" t="s">
        <v>45</v>
      </c>
      <c r="AS3" s="28" t="s">
        <v>40</v>
      </c>
    </row>
    <row r="4" spans="1:45" x14ac:dyDescent="0.2">
      <c r="A4" s="14" t="s">
        <v>810</v>
      </c>
      <c r="B4" s="8" t="s">
        <v>817</v>
      </c>
      <c r="C4" s="8"/>
      <c r="D4" s="8" t="s">
        <v>817</v>
      </c>
      <c r="E4" s="13" t="s">
        <v>818</v>
      </c>
      <c r="F4" s="13">
        <v>69.5</v>
      </c>
      <c r="G4" s="13">
        <v>161.86000000000001</v>
      </c>
      <c r="H4" s="13"/>
      <c r="I4" s="13" t="s">
        <v>326</v>
      </c>
      <c r="J4" s="13"/>
      <c r="K4" s="13"/>
      <c r="L4" s="13"/>
      <c r="M4" s="13">
        <v>-10</v>
      </c>
      <c r="N4" s="13">
        <v>218</v>
      </c>
      <c r="O4" s="13" t="s">
        <v>870</v>
      </c>
      <c r="P4" s="13"/>
      <c r="Q4" s="13" t="s">
        <v>819</v>
      </c>
      <c r="R4" s="13" t="s">
        <v>682</v>
      </c>
      <c r="S4" s="13"/>
      <c r="T4" s="13"/>
      <c r="U4" s="13"/>
      <c r="V4" s="13"/>
      <c r="W4" s="13"/>
      <c r="X4" s="3" t="s">
        <v>862</v>
      </c>
      <c r="Y4" s="3" t="s">
        <v>887</v>
      </c>
      <c r="AA4" s="3" t="s">
        <v>883</v>
      </c>
      <c r="AB4" s="13" t="s">
        <v>820</v>
      </c>
      <c r="AC4" s="13"/>
      <c r="AD4" s="13"/>
      <c r="AE4" s="13"/>
      <c r="AG4" s="3">
        <v>80</v>
      </c>
      <c r="AH4" s="3" t="s">
        <v>908</v>
      </c>
      <c r="AJ4" s="134" t="s">
        <v>909</v>
      </c>
      <c r="AK4" s="13"/>
      <c r="AL4" s="13"/>
      <c r="AM4" s="13"/>
      <c r="AN4" s="13"/>
      <c r="AO4" s="13"/>
    </row>
    <row r="5" spans="1:45" x14ac:dyDescent="0.2">
      <c r="A5" s="14" t="s">
        <v>810</v>
      </c>
      <c r="B5" s="8" t="s">
        <v>821</v>
      </c>
      <c r="C5" s="8"/>
      <c r="D5" s="8" t="s">
        <v>821</v>
      </c>
      <c r="E5" s="13" t="s">
        <v>818</v>
      </c>
      <c r="F5" s="13">
        <v>69.650000000000006</v>
      </c>
      <c r="G5" s="13">
        <v>162.51667</v>
      </c>
      <c r="H5" s="13"/>
      <c r="I5" s="13" t="s">
        <v>326</v>
      </c>
      <c r="J5" s="13"/>
      <c r="K5" s="13"/>
      <c r="L5" s="13"/>
      <c r="M5" s="13">
        <v>-10</v>
      </c>
      <c r="N5" s="13">
        <v>218</v>
      </c>
      <c r="O5" s="13" t="s">
        <v>870</v>
      </c>
      <c r="P5" s="13"/>
      <c r="Q5" s="13" t="s">
        <v>819</v>
      </c>
      <c r="R5" s="13" t="s">
        <v>682</v>
      </c>
      <c r="S5" s="13"/>
      <c r="T5" s="13"/>
      <c r="U5" s="13"/>
      <c r="V5" s="13"/>
      <c r="W5" s="13"/>
      <c r="X5" s="3" t="s">
        <v>862</v>
      </c>
      <c r="Y5" s="3" t="s">
        <v>887</v>
      </c>
      <c r="AA5" s="3" t="s">
        <v>883</v>
      </c>
      <c r="AB5" s="13" t="s">
        <v>820</v>
      </c>
      <c r="AC5" s="13"/>
      <c r="AD5" s="13"/>
      <c r="AE5" s="13"/>
      <c r="AG5" s="3">
        <v>80</v>
      </c>
      <c r="AH5" s="3" t="s">
        <v>908</v>
      </c>
      <c r="AJ5" s="134" t="s">
        <v>909</v>
      </c>
      <c r="AK5" s="13"/>
      <c r="AL5" s="13"/>
      <c r="AM5" s="13"/>
      <c r="AN5" s="13"/>
      <c r="AO5" s="13"/>
    </row>
    <row r="6" spans="1:45" x14ac:dyDescent="0.2">
      <c r="A6" s="14" t="s">
        <v>810</v>
      </c>
      <c r="B6" s="8" t="s">
        <v>822</v>
      </c>
      <c r="C6" s="8"/>
      <c r="D6" s="8" t="s">
        <v>822</v>
      </c>
      <c r="E6" s="13" t="s">
        <v>818</v>
      </c>
      <c r="F6" s="13">
        <v>68.616680000000002</v>
      </c>
      <c r="G6" s="13">
        <v>159.033333</v>
      </c>
      <c r="H6" s="13"/>
      <c r="I6" s="13" t="s">
        <v>326</v>
      </c>
      <c r="J6" s="13"/>
      <c r="K6" s="13"/>
      <c r="L6" s="13"/>
      <c r="M6" s="13">
        <v>-10</v>
      </c>
      <c r="N6" s="13">
        <v>218</v>
      </c>
      <c r="O6" s="13" t="s">
        <v>870</v>
      </c>
      <c r="P6" s="13"/>
      <c r="Q6" s="13" t="s">
        <v>819</v>
      </c>
      <c r="R6" s="13" t="s">
        <v>682</v>
      </c>
      <c r="S6" s="13"/>
      <c r="T6" s="13"/>
      <c r="U6" s="13"/>
      <c r="V6" s="13"/>
      <c r="W6" s="13"/>
      <c r="X6" s="3" t="s">
        <v>190</v>
      </c>
      <c r="Y6" s="3" t="s">
        <v>884</v>
      </c>
      <c r="Z6" s="3" t="s">
        <v>885</v>
      </c>
      <c r="AA6" s="3" t="s">
        <v>883</v>
      </c>
      <c r="AB6" s="13" t="s">
        <v>823</v>
      </c>
      <c r="AC6" s="13"/>
      <c r="AD6" s="13"/>
      <c r="AE6" s="13"/>
      <c r="AG6" s="3">
        <v>80</v>
      </c>
      <c r="AH6" s="3" t="s">
        <v>908</v>
      </c>
      <c r="AJ6" s="134" t="s">
        <v>909</v>
      </c>
      <c r="AK6" s="13"/>
      <c r="AL6" s="13"/>
      <c r="AM6" s="13"/>
      <c r="AN6" s="13"/>
      <c r="AO6" s="13"/>
    </row>
    <row r="7" spans="1:45" x14ac:dyDescent="0.2">
      <c r="A7" s="14" t="s">
        <v>810</v>
      </c>
      <c r="B7" s="8" t="s">
        <v>824</v>
      </c>
      <c r="C7" s="8"/>
      <c r="D7" s="8" t="s">
        <v>824</v>
      </c>
      <c r="E7" s="13" t="s">
        <v>818</v>
      </c>
      <c r="F7" s="13">
        <v>68.8</v>
      </c>
      <c r="G7" s="13">
        <v>162.51669999999999</v>
      </c>
      <c r="H7" s="13"/>
      <c r="I7" s="13" t="s">
        <v>326</v>
      </c>
      <c r="J7" s="13"/>
      <c r="K7" s="13"/>
      <c r="L7" s="13"/>
      <c r="M7" s="13">
        <v>-10</v>
      </c>
      <c r="N7" s="13">
        <v>218</v>
      </c>
      <c r="O7" s="13" t="s">
        <v>870</v>
      </c>
      <c r="P7" s="13"/>
      <c r="Q7" s="13" t="s">
        <v>819</v>
      </c>
      <c r="R7" s="13" t="s">
        <v>682</v>
      </c>
      <c r="S7" s="13"/>
      <c r="T7" s="13"/>
      <c r="U7" s="13"/>
      <c r="V7" s="13"/>
      <c r="W7" s="13"/>
      <c r="X7" s="3" t="s">
        <v>190</v>
      </c>
      <c r="Y7" s="3" t="s">
        <v>884</v>
      </c>
      <c r="Z7" s="3" t="s">
        <v>885</v>
      </c>
      <c r="AA7" s="3" t="s">
        <v>883</v>
      </c>
      <c r="AB7" s="13" t="s">
        <v>823</v>
      </c>
      <c r="AC7" s="13"/>
      <c r="AD7" s="13"/>
      <c r="AE7" s="13"/>
      <c r="AG7" s="3">
        <v>80</v>
      </c>
      <c r="AH7" s="3" t="s">
        <v>908</v>
      </c>
      <c r="AJ7" s="134" t="s">
        <v>909</v>
      </c>
      <c r="AK7" s="13"/>
      <c r="AL7" s="13"/>
      <c r="AM7" s="13"/>
      <c r="AN7" s="13"/>
      <c r="AO7" s="13"/>
    </row>
    <row r="8" spans="1:45" x14ac:dyDescent="0.2">
      <c r="B8" s="8"/>
      <c r="C8" s="8"/>
      <c r="D8" s="8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AB8" s="13"/>
      <c r="AC8" s="13"/>
      <c r="AD8" s="13"/>
      <c r="AE8" s="13"/>
      <c r="AK8" s="13"/>
      <c r="AL8" s="13"/>
      <c r="AM8" s="13"/>
      <c r="AN8" s="13"/>
      <c r="AO8" s="13"/>
    </row>
    <row r="9" spans="1:45" x14ac:dyDescent="0.2">
      <c r="B9" s="8"/>
      <c r="C9" s="8"/>
      <c r="D9" s="8"/>
      <c r="E9" s="13"/>
      <c r="F9" s="13"/>
      <c r="G9" s="13"/>
      <c r="H9" s="13"/>
      <c r="I9" s="13"/>
      <c r="J9" s="13"/>
      <c r="K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AB9" s="13"/>
      <c r="AC9" s="13"/>
      <c r="AD9" s="13"/>
      <c r="AE9" s="13"/>
      <c r="AK9" s="13"/>
      <c r="AL9" s="13"/>
      <c r="AM9" s="13"/>
      <c r="AN9" s="13"/>
      <c r="AO9" s="13"/>
    </row>
    <row r="10" spans="1:45" x14ac:dyDescent="0.2">
      <c r="B10" s="8"/>
      <c r="C10" s="8"/>
      <c r="D10" s="8"/>
      <c r="E10" s="13"/>
      <c r="F10" s="13"/>
      <c r="G10" s="13"/>
      <c r="H10" s="13"/>
      <c r="I10" s="13"/>
      <c r="J10" s="13"/>
      <c r="K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AB10" s="13"/>
      <c r="AC10" s="13"/>
      <c r="AD10" s="13"/>
      <c r="AE10" s="13"/>
      <c r="AK10" s="13"/>
      <c r="AL10" s="13"/>
      <c r="AM10" s="13"/>
      <c r="AN10" s="13"/>
      <c r="AO10" s="13"/>
    </row>
    <row r="11" spans="1:45" x14ac:dyDescent="0.2">
      <c r="B11" s="8"/>
      <c r="C11" s="8"/>
      <c r="D11" s="8"/>
      <c r="E11" s="13"/>
      <c r="F11" s="13"/>
      <c r="G11" s="13"/>
      <c r="H11" s="13"/>
      <c r="I11" s="13"/>
      <c r="J11" s="13"/>
      <c r="K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AB11" s="13"/>
      <c r="AC11" s="13"/>
      <c r="AD11" s="13"/>
      <c r="AE11" s="13"/>
      <c r="AK11" s="13"/>
      <c r="AL11" s="13"/>
      <c r="AM11" s="13"/>
      <c r="AN11" s="13"/>
      <c r="AO11" s="13"/>
    </row>
    <row r="12" spans="1:45" x14ac:dyDescent="0.2">
      <c r="B12" s="8"/>
      <c r="C12" s="8"/>
      <c r="D12" s="8"/>
      <c r="E12" s="13"/>
      <c r="F12" s="13"/>
      <c r="G12" s="13"/>
      <c r="H12" s="13"/>
      <c r="I12" s="13"/>
      <c r="J12" s="13"/>
      <c r="K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AB12" s="13"/>
      <c r="AC12" s="13"/>
      <c r="AD12" s="13"/>
      <c r="AE12" s="13"/>
      <c r="AK12" s="13"/>
      <c r="AL12" s="13"/>
      <c r="AM12" s="13"/>
      <c r="AN12" s="13"/>
      <c r="AO12" s="13"/>
    </row>
    <row r="13" spans="1:45" x14ac:dyDescent="0.2">
      <c r="B13" s="8"/>
      <c r="C13" s="8"/>
      <c r="D13" s="8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AB13" s="13"/>
      <c r="AC13" s="13"/>
      <c r="AD13" s="13"/>
      <c r="AE13" s="13"/>
      <c r="AK13" s="13"/>
      <c r="AL13" s="13"/>
      <c r="AM13" s="13"/>
      <c r="AN13" s="13"/>
      <c r="AO13" s="13"/>
    </row>
    <row r="14" spans="1:45" x14ac:dyDescent="0.2">
      <c r="B14" s="8"/>
      <c r="C14" s="8"/>
      <c r="D14" s="8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AB14" s="13"/>
      <c r="AC14" s="13"/>
      <c r="AD14" s="13"/>
      <c r="AE14" s="13"/>
      <c r="AK14" s="13"/>
      <c r="AL14" s="13"/>
      <c r="AM14" s="13"/>
      <c r="AN14" s="13"/>
      <c r="AO14" s="13"/>
    </row>
    <row r="15" spans="1:45" x14ac:dyDescent="0.2">
      <c r="B15" s="8"/>
      <c r="C15" s="8"/>
      <c r="D15" s="8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AB15" s="13"/>
      <c r="AC15" s="13"/>
      <c r="AD15" s="13"/>
      <c r="AE15" s="13"/>
      <c r="AK15" s="13"/>
      <c r="AL15" s="13"/>
      <c r="AM15" s="13"/>
      <c r="AN15" s="13"/>
      <c r="AO15" s="13"/>
    </row>
    <row r="16" spans="1:45" x14ac:dyDescent="0.2">
      <c r="B16" s="8"/>
      <c r="C16" s="8"/>
      <c r="D16" s="8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AB16" s="13"/>
      <c r="AC16" s="13"/>
      <c r="AD16" s="13"/>
      <c r="AE16" s="13"/>
      <c r="AK16" s="13"/>
      <c r="AL16" s="13"/>
      <c r="AM16" s="13"/>
      <c r="AN16" s="13"/>
      <c r="AO16" s="13"/>
    </row>
    <row r="17" spans="2:41" x14ac:dyDescent="0.2">
      <c r="B17" s="8"/>
      <c r="C17" s="8"/>
      <c r="D17" s="8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AB17" s="13"/>
      <c r="AC17" s="13"/>
      <c r="AD17" s="13"/>
      <c r="AE17" s="13"/>
      <c r="AK17" s="13"/>
      <c r="AL17" s="13"/>
      <c r="AM17" s="13"/>
      <c r="AN17" s="13"/>
      <c r="AO17" s="13"/>
    </row>
    <row r="18" spans="2:41" x14ac:dyDescent="0.2">
      <c r="B18" s="8"/>
      <c r="C18" s="8"/>
      <c r="D18" s="8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AB18" s="13"/>
      <c r="AC18" s="13"/>
      <c r="AD18" s="13"/>
      <c r="AE18" s="13"/>
      <c r="AK18" s="13"/>
      <c r="AL18" s="13"/>
      <c r="AM18" s="13"/>
      <c r="AN18" s="13"/>
      <c r="AO18" s="13"/>
    </row>
    <row r="19" spans="2:41" x14ac:dyDescent="0.2">
      <c r="B19" s="8"/>
      <c r="C19" s="8"/>
      <c r="D19" s="8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AB19" s="13"/>
      <c r="AC19" s="13"/>
      <c r="AD19" s="13"/>
      <c r="AE19" s="13"/>
      <c r="AK19" s="13"/>
      <c r="AL19" s="13"/>
      <c r="AM19" s="13"/>
      <c r="AN19" s="13"/>
      <c r="AO19" s="13"/>
    </row>
    <row r="20" spans="2:41" x14ac:dyDescent="0.2"/>
    <row r="21" spans="2:41" x14ac:dyDescent="0.2"/>
    <row r="22" spans="2:41" x14ac:dyDescent="0.2"/>
    <row r="23" spans="2:41" x14ac:dyDescent="0.2"/>
    <row r="24" spans="2:41" x14ac:dyDescent="0.2"/>
    <row r="25" spans="2:41" x14ac:dyDescent="0.2"/>
    <row r="26" spans="2:41" x14ac:dyDescent="0.2"/>
    <row r="27" spans="2:41" x14ac:dyDescent="0.2"/>
    <row r="28" spans="2:41" x14ac:dyDescent="0.2"/>
    <row r="29" spans="2:41" x14ac:dyDescent="0.2"/>
    <row r="30" spans="2:41" x14ac:dyDescent="0.2"/>
    <row r="31" spans="2:41" x14ac:dyDescent="0.2"/>
    <row r="32" spans="2:41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0200-000000000000}">
          <x14:formula1>
            <xm:f>'controlled vocabulary'!$N$4:$N$9</xm:f>
          </x14:formula1>
          <xm:sqref>AK4:AK1048576</xm:sqref>
        </x14:dataValidation>
        <x14:dataValidation type="list" allowBlank="1" showInputMessage="1" showErrorMessage="1" xr:uid="{00000000-0002-0000-0200-000001000000}">
          <x14:formula1>
            <xm:f>'controlled vocabulary'!$G$4:$G$10</xm:f>
          </x14:formula1>
          <xm:sqref>X8:X1048576</xm:sqref>
        </x14:dataValidation>
        <x14:dataValidation type="list" allowBlank="1" showInputMessage="1" showErrorMessage="1" xr:uid="{00000000-0002-0000-0200-000002000000}">
          <x14:formula1>
            <xm:f>'controlled vocabulary'!$M$4:$M$6</xm:f>
          </x14:formula1>
          <xm:sqref>AI4:AI1048576</xm:sqref>
        </x14:dataValidation>
        <x14:dataValidation type="list" allowBlank="1" showInputMessage="1" showErrorMessage="1" xr:uid="{00000000-0002-0000-0200-000003000000}">
          <x14:formula1>
            <xm:f>'controlled vocabulary'!$L$4:$L$12</xm:f>
          </x14:formula1>
          <xm:sqref>AH4:AH1048576</xm:sqref>
        </x14:dataValidation>
        <x14:dataValidation type="list" allowBlank="1" showInputMessage="1" showErrorMessage="1" xr:uid="{00000000-0002-0000-0200-000004000000}">
          <x14:formula1>
            <xm:f>'controlled vocabulary'!$K$4:$K$10</xm:f>
          </x14:formula1>
          <xm:sqref>AP4:AP1048576</xm:sqref>
        </x14:dataValidation>
        <x14:dataValidation type="list" allowBlank="1" showInputMessage="1" showErrorMessage="1" xr:uid="{00000000-0002-0000-0200-000005000000}">
          <x14:formula1>
            <xm:f>'controlled vocabulary'!$B$4:$B$11</xm:f>
          </x14:formula1>
          <xm:sqref>AL4:AL1048576</xm:sqref>
        </x14:dataValidation>
        <x14:dataValidation type="list" allowBlank="1" showInputMessage="1" showErrorMessage="1" xr:uid="{00000000-0002-0000-0200-000006000000}">
          <x14:formula1>
            <xm:f>'controlled vocabulary'!$O$4:$O$5</xm:f>
          </x14:formula1>
          <xm:sqref>I4:I1048576</xm:sqref>
        </x14:dataValidation>
        <x14:dataValidation type="list" allowBlank="1" showInputMessage="1" showErrorMessage="1" xr:uid="{00000000-0002-0000-0200-000007000000}">
          <x14:formula1>
            <xm:f>'controlled vocabulary'!$F$4:$F$6</xm:f>
          </x14:formula1>
          <xm:sqref>R4:S1048576</xm:sqref>
        </x14:dataValidation>
        <x14:dataValidation type="list" allowBlank="1" showInputMessage="1" showErrorMessage="1" xr:uid="{00000000-0002-0000-0200-000008000000}">
          <x14:formula1>
            <xm:f>'controlled vocabulary'!$G$4:$G$11</xm:f>
          </x14:formula1>
          <xm:sqref>X4:X7</xm:sqref>
        </x14:dataValidation>
        <x14:dataValidation type="list" allowBlank="1" showInputMessage="1" showErrorMessage="1" xr:uid="{00000000-0002-0000-0200-000009000000}">
          <x14:formula1>
            <xm:f>'controlled vocabulary'!$E$4:$E$15</xm:f>
          </x14:formula1>
          <xm:sqref>O4:O1048576</xm:sqref>
        </x14:dataValidation>
        <x14:dataValidation type="list" allowBlank="1" showInputMessage="1" showErrorMessage="1" xr:uid="{00000000-0002-0000-0200-00000A000000}">
          <x14:formula1>
            <xm:f>'controlled vocabulary'!$H$4:$H$6</xm:f>
          </x14:formula1>
          <xm:sqref>Y4:Y1048576</xm:sqref>
        </x14:dataValidation>
        <x14:dataValidation type="list" allowBlank="1" showInputMessage="1" showErrorMessage="1" xr:uid="{00000000-0002-0000-0200-00000B000000}">
          <x14:formula1>
            <xm:f>'controlled vocabulary'!$I$4:$I$6</xm:f>
          </x14:formula1>
          <xm:sqref>Z4:Z1048576</xm:sqref>
        </x14:dataValidation>
        <x14:dataValidation type="list" allowBlank="1" showInputMessage="1" showErrorMessage="1" xr:uid="{00000000-0002-0000-0200-00000C000000}">
          <x14:formula1>
            <xm:f>'controlled vocabulary'!$J$4:$J$6</xm:f>
          </x14:formula1>
          <xm:sqref>AA4:AA1048576</xm:sqref>
        </x14:dataValidation>
        <x14:dataValidation type="list" allowBlank="1" showInputMessage="1" showErrorMessage="1" xr:uid="{00000000-0002-0000-0200-00000D000000}">
          <x14:formula1>
            <xm:f>OFFSET(site!B$1,3,0,COUNTA(site!B:B)-2,1)</xm:f>
          </x14:formula1>
          <xm:sqref>B8:B1048576</xm:sqref>
        </x14:dataValidation>
        <x14:dataValidation type="list" allowBlank="1" showInputMessage="1" showErrorMessage="1" xr:uid="{00000000-0002-0000-0200-00000E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3"/>
  <sheetViews>
    <sheetView workbookViewId="0">
      <selection activeCell="J4" sqref="J4"/>
    </sheetView>
  </sheetViews>
  <sheetFormatPr baseColWidth="10" defaultColWidth="11.5" defaultRowHeight="15" x14ac:dyDescent="0.2"/>
  <cols>
    <col min="1" max="1" width="14.5" style="3" customWidth="1"/>
    <col min="2" max="2" width="12.5" bestFit="1" customWidth="1"/>
    <col min="3" max="3" width="12.5" customWidth="1"/>
    <col min="4" max="4" width="13.1640625" customWidth="1"/>
    <col min="5" max="6" width="12.5" customWidth="1"/>
    <col min="7" max="7" width="14.83203125" style="122" customWidth="1"/>
    <col min="8" max="8" width="15" style="122" customWidth="1"/>
    <col min="9" max="9" width="14.5" style="122" bestFit="1" customWidth="1"/>
    <col min="10" max="10" width="21.1640625" customWidth="1"/>
    <col min="11" max="11" width="17.5" customWidth="1"/>
    <col min="13" max="13" width="22.83203125" bestFit="1" customWidth="1"/>
    <col min="14" max="14" width="19" bestFit="1" customWidth="1"/>
    <col min="15" max="15" width="19" customWidth="1"/>
    <col min="16" max="16" width="18.5" bestFit="1" customWidth="1"/>
    <col min="17" max="18" width="11.5" customWidth="1"/>
    <col min="19" max="19" width="17" bestFit="1" customWidth="1"/>
    <col min="20" max="20" width="16.5" bestFit="1" customWidth="1"/>
    <col min="21" max="21" width="14.83203125" bestFit="1" customWidth="1"/>
    <col min="22" max="22" width="13" bestFit="1" customWidth="1"/>
    <col min="23" max="23" width="14.1640625" bestFit="1" customWidth="1"/>
    <col min="24" max="24" width="11.5" bestFit="1" customWidth="1"/>
    <col min="25" max="25" width="12.5" customWidth="1"/>
    <col min="26" max="26" width="13" customWidth="1"/>
    <col min="28" max="28" width="15.5" bestFit="1" customWidth="1"/>
    <col min="30" max="30" width="18.5" bestFit="1" customWidth="1"/>
    <col min="31" max="31" width="12" bestFit="1" customWidth="1"/>
    <col min="32" max="32" width="8.5" bestFit="1" customWidth="1"/>
    <col min="33" max="33" width="14.83203125" bestFit="1" customWidth="1"/>
    <col min="34" max="34" width="14.5" customWidth="1"/>
    <col min="35" max="35" width="19.83203125" bestFit="1" customWidth="1"/>
    <col min="36" max="36" width="25.83203125" bestFit="1" customWidth="1"/>
    <col min="37" max="37" width="22.83203125" bestFit="1" customWidth="1"/>
  </cols>
  <sheetData>
    <row r="1" spans="1:37" s="95" customFormat="1" ht="29" customHeight="1" x14ac:dyDescent="0.2">
      <c r="A1" s="18" t="s">
        <v>673</v>
      </c>
      <c r="B1" s="18" t="s">
        <v>14</v>
      </c>
      <c r="C1" s="101" t="s">
        <v>628</v>
      </c>
      <c r="D1" s="106" t="s">
        <v>462</v>
      </c>
      <c r="E1" s="24" t="s">
        <v>630</v>
      </c>
      <c r="F1" s="24" t="s">
        <v>631</v>
      </c>
      <c r="G1" s="118" t="s">
        <v>749</v>
      </c>
      <c r="H1" s="112" t="s">
        <v>750</v>
      </c>
      <c r="I1" s="112" t="s">
        <v>751</v>
      </c>
      <c r="J1" s="93" t="s">
        <v>439</v>
      </c>
      <c r="K1" s="93" t="s">
        <v>440</v>
      </c>
      <c r="L1" s="93" t="s">
        <v>441</v>
      </c>
      <c r="M1" s="93" t="s">
        <v>442</v>
      </c>
      <c r="N1" s="102" t="s">
        <v>661</v>
      </c>
      <c r="O1" s="93" t="s">
        <v>689</v>
      </c>
      <c r="P1" s="102" t="s">
        <v>652</v>
      </c>
      <c r="Q1" s="93" t="s">
        <v>443</v>
      </c>
      <c r="R1" s="93" t="s">
        <v>692</v>
      </c>
      <c r="S1" s="93" t="s">
        <v>444</v>
      </c>
      <c r="T1" s="93" t="s">
        <v>445</v>
      </c>
      <c r="U1" s="93" t="s">
        <v>446</v>
      </c>
      <c r="V1" s="93" t="s">
        <v>447</v>
      </c>
      <c r="W1" s="93" t="s">
        <v>448</v>
      </c>
      <c r="X1" s="93" t="s">
        <v>449</v>
      </c>
      <c r="Y1" s="93" t="s">
        <v>450</v>
      </c>
      <c r="Z1" s="93" t="s">
        <v>451</v>
      </c>
      <c r="AA1" s="94" t="s">
        <v>729</v>
      </c>
      <c r="AB1" s="94" t="s">
        <v>730</v>
      </c>
      <c r="AC1" s="67" t="s">
        <v>452</v>
      </c>
      <c r="AD1" s="67" t="s">
        <v>453</v>
      </c>
      <c r="AE1" s="67" t="s">
        <v>454</v>
      </c>
      <c r="AF1" s="67" t="s">
        <v>455</v>
      </c>
      <c r="AG1" s="67" t="s">
        <v>456</v>
      </c>
      <c r="AH1" s="39" t="s">
        <v>457</v>
      </c>
      <c r="AI1" s="67" t="s">
        <v>458</v>
      </c>
      <c r="AJ1" s="67" t="s">
        <v>459</v>
      </c>
      <c r="AK1" s="39" t="s">
        <v>460</v>
      </c>
    </row>
    <row r="2" spans="1:37" s="128" customFormat="1" ht="58" customHeight="1" x14ac:dyDescent="0.2">
      <c r="A2" s="22" t="s">
        <v>674</v>
      </c>
      <c r="B2" s="26" t="s">
        <v>16</v>
      </c>
      <c r="C2" s="26" t="s">
        <v>375</v>
      </c>
      <c r="D2" s="26" t="s">
        <v>629</v>
      </c>
      <c r="E2" s="26" t="s">
        <v>632</v>
      </c>
      <c r="F2" s="26" t="s">
        <v>633</v>
      </c>
      <c r="G2" s="113" t="s">
        <v>738</v>
      </c>
      <c r="H2" s="113" t="s">
        <v>739</v>
      </c>
      <c r="I2" s="113" t="s">
        <v>737</v>
      </c>
      <c r="J2" s="126" t="s">
        <v>794</v>
      </c>
      <c r="K2" s="126"/>
      <c r="L2" s="126" t="s">
        <v>798</v>
      </c>
      <c r="M2" s="126" t="s">
        <v>651</v>
      </c>
      <c r="N2" s="126" t="s">
        <v>690</v>
      </c>
      <c r="O2" s="126" t="s">
        <v>691</v>
      </c>
      <c r="P2" s="126" t="s">
        <v>800</v>
      </c>
      <c r="Q2" s="126" t="s">
        <v>720</v>
      </c>
      <c r="R2" s="126" t="s">
        <v>721</v>
      </c>
      <c r="S2" s="126" t="s">
        <v>384</v>
      </c>
      <c r="T2" s="126" t="s">
        <v>383</v>
      </c>
      <c r="U2" s="126" t="s">
        <v>335</v>
      </c>
      <c r="V2" s="126" t="s">
        <v>382</v>
      </c>
      <c r="W2" s="126" t="s">
        <v>381</v>
      </c>
      <c r="X2" s="127" t="s">
        <v>380</v>
      </c>
      <c r="Y2" s="126" t="s">
        <v>379</v>
      </c>
      <c r="Z2" s="126" t="s">
        <v>728</v>
      </c>
      <c r="AA2" s="48" t="s">
        <v>695</v>
      </c>
      <c r="AB2" s="48" t="s">
        <v>696</v>
      </c>
      <c r="AC2" s="48" t="s">
        <v>86</v>
      </c>
      <c r="AD2" s="48" t="s">
        <v>87</v>
      </c>
      <c r="AE2" s="48" t="s">
        <v>88</v>
      </c>
      <c r="AF2" s="48" t="s">
        <v>697</v>
      </c>
      <c r="AG2" s="48" t="s">
        <v>698</v>
      </c>
      <c r="AH2" s="48" t="s">
        <v>699</v>
      </c>
      <c r="AI2" s="48" t="s">
        <v>700</v>
      </c>
      <c r="AJ2" s="48" t="s">
        <v>701</v>
      </c>
      <c r="AK2" s="48" t="s">
        <v>702</v>
      </c>
    </row>
    <row r="3" spans="1:37" s="73" customFormat="1" ht="32" x14ac:dyDescent="0.2">
      <c r="A3" s="28" t="s">
        <v>366</v>
      </c>
      <c r="B3" s="27"/>
      <c r="C3" s="108"/>
      <c r="D3" s="100"/>
      <c r="E3" s="27" t="s">
        <v>31</v>
      </c>
      <c r="F3" s="27" t="s">
        <v>31</v>
      </c>
      <c r="G3" s="114" t="s">
        <v>735</v>
      </c>
      <c r="H3" s="114" t="s">
        <v>34</v>
      </c>
      <c r="I3" s="114" t="s">
        <v>736</v>
      </c>
      <c r="J3" s="125" t="s">
        <v>795</v>
      </c>
      <c r="K3" s="88"/>
      <c r="L3" s="125" t="s">
        <v>793</v>
      </c>
      <c r="M3" s="125" t="s">
        <v>796</v>
      </c>
      <c r="N3" s="125" t="s">
        <v>797</v>
      </c>
      <c r="O3" s="87"/>
      <c r="P3" s="125" t="s">
        <v>799</v>
      </c>
      <c r="Q3" s="129" t="s">
        <v>722</v>
      </c>
      <c r="R3" s="125" t="s">
        <v>802</v>
      </c>
      <c r="S3" s="88" t="s">
        <v>377</v>
      </c>
      <c r="T3" s="88" t="s">
        <v>377</v>
      </c>
      <c r="U3" s="88" t="s">
        <v>331</v>
      </c>
      <c r="V3" s="87" t="s">
        <v>37</v>
      </c>
      <c r="W3" s="87" t="s">
        <v>37</v>
      </c>
      <c r="X3" s="88"/>
      <c r="Y3" s="88"/>
      <c r="Z3" s="125" t="s">
        <v>803</v>
      </c>
      <c r="AA3" s="60" t="s">
        <v>131</v>
      </c>
      <c r="AB3" s="60" t="s">
        <v>131</v>
      </c>
      <c r="AC3" s="60" t="s">
        <v>55</v>
      </c>
      <c r="AD3" s="60"/>
      <c r="AE3" s="60" t="s">
        <v>132</v>
      </c>
      <c r="AF3" s="60" t="s">
        <v>131</v>
      </c>
      <c r="AG3" s="60" t="s">
        <v>131</v>
      </c>
      <c r="AH3" s="60" t="s">
        <v>131</v>
      </c>
      <c r="AI3" s="60"/>
      <c r="AJ3" s="60"/>
      <c r="AK3" s="60"/>
    </row>
    <row r="4" spans="1:37" x14ac:dyDescent="0.2">
      <c r="A4" s="14"/>
      <c r="B4" s="3"/>
      <c r="C4" s="3"/>
      <c r="D4" s="3"/>
      <c r="E4" s="3"/>
      <c r="F4" s="3"/>
      <c r="G4" s="115"/>
      <c r="H4" s="115"/>
      <c r="I4" s="11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2">
      <c r="A5" s="14"/>
      <c r="B5" s="3"/>
      <c r="C5" s="3"/>
      <c r="D5" s="3"/>
      <c r="E5" s="3"/>
      <c r="F5" s="3"/>
      <c r="G5" s="115"/>
      <c r="H5" s="115"/>
      <c r="I5" s="11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x14ac:dyDescent="0.2">
      <c r="A6" s="14"/>
      <c r="B6" s="3"/>
      <c r="C6" s="3"/>
      <c r="D6" s="3"/>
      <c r="E6" s="3"/>
      <c r="F6" s="3"/>
      <c r="G6" s="115"/>
      <c r="H6" s="115"/>
      <c r="I6" s="11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2">
      <c r="A7" s="14"/>
      <c r="B7" s="3"/>
      <c r="C7" s="3"/>
      <c r="D7" s="3"/>
      <c r="E7" s="3"/>
      <c r="F7" s="3"/>
      <c r="G7" s="115"/>
      <c r="H7" s="115"/>
      <c r="I7" s="11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2">
      <c r="B8" s="3"/>
      <c r="C8" s="3"/>
      <c r="D8" s="3"/>
      <c r="E8" s="3"/>
      <c r="F8" s="3"/>
      <c r="G8" s="115"/>
      <c r="H8" s="115"/>
      <c r="I8" s="11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x14ac:dyDescent="0.2">
      <c r="B9" s="3"/>
      <c r="C9" s="3"/>
      <c r="D9" s="3"/>
      <c r="E9" s="3"/>
      <c r="F9" s="3"/>
      <c r="G9" s="115"/>
      <c r="H9" s="115"/>
      <c r="I9" s="11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2">
      <c r="B10" s="3"/>
      <c r="C10" s="3"/>
      <c r="D10" s="3"/>
      <c r="E10" s="3"/>
      <c r="F10" s="3"/>
      <c r="G10" s="115"/>
      <c r="H10" s="115"/>
      <c r="I10" s="11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2">
      <c r="B11" s="3"/>
      <c r="C11" s="3"/>
      <c r="D11" s="3"/>
      <c r="E11" s="3"/>
      <c r="F11" s="3"/>
      <c r="G11" s="115"/>
      <c r="H11" s="115"/>
      <c r="I11" s="11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B12" s="3"/>
      <c r="C12" s="3"/>
      <c r="D12" s="3"/>
      <c r="E12" s="3"/>
      <c r="F12" s="3"/>
      <c r="G12" s="115"/>
      <c r="H12" s="115"/>
      <c r="I12" s="11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2">
      <c r="B13" s="3"/>
      <c r="C13" s="3"/>
      <c r="D13" s="3"/>
      <c r="E13" s="3"/>
      <c r="F13" s="3"/>
      <c r="G13" s="115"/>
      <c r="H13" s="115"/>
      <c r="I13" s="11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">
      <c r="B14" s="3"/>
      <c r="C14" s="3"/>
      <c r="D14" s="3"/>
      <c r="E14" s="3"/>
      <c r="F14" s="3"/>
      <c r="G14" s="115"/>
      <c r="H14" s="115"/>
      <c r="I14" s="11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">
      <c r="B15" s="3"/>
      <c r="C15" s="3"/>
      <c r="D15" s="3"/>
      <c r="E15" s="3"/>
      <c r="F15" s="3"/>
      <c r="G15" s="115"/>
      <c r="H15" s="115"/>
      <c r="I15" s="11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">
      <c r="B16" s="3"/>
      <c r="C16" s="3"/>
      <c r="D16" s="3"/>
      <c r="E16" s="3"/>
      <c r="F16" s="3"/>
      <c r="G16" s="115"/>
      <c r="H16" s="115"/>
      <c r="I16" s="11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x14ac:dyDescent="0.2">
      <c r="B17" s="3"/>
      <c r="C17" s="3"/>
      <c r="D17" s="3"/>
      <c r="E17" s="3"/>
      <c r="F17" s="3"/>
      <c r="G17" s="115"/>
      <c r="H17" s="115"/>
      <c r="I17" s="11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2:37" x14ac:dyDescent="0.2">
      <c r="B18" s="3"/>
      <c r="C18" s="3"/>
      <c r="D18" s="3"/>
      <c r="E18" s="3"/>
      <c r="F18" s="3"/>
      <c r="G18" s="115"/>
      <c r="H18" s="115"/>
      <c r="I18" s="11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2:37" x14ac:dyDescent="0.2">
      <c r="B19" s="3"/>
      <c r="C19" s="3"/>
      <c r="D19" s="3"/>
      <c r="E19" s="3"/>
      <c r="F19" s="3"/>
      <c r="G19" s="115"/>
      <c r="H19" s="115"/>
      <c r="I19" s="11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2:37" x14ac:dyDescent="0.2">
      <c r="B20" s="3"/>
      <c r="C20" s="3"/>
      <c r="D20" s="3"/>
      <c r="E20" s="3"/>
      <c r="F20" s="3"/>
      <c r="G20" s="115"/>
      <c r="H20" s="115"/>
      <c r="I20" s="11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2:37" x14ac:dyDescent="0.2">
      <c r="B21" s="3"/>
      <c r="C21" s="3"/>
      <c r="D21" s="3"/>
      <c r="E21" s="3"/>
      <c r="F21" s="3"/>
      <c r="G21" s="115"/>
      <c r="H21" s="115"/>
      <c r="I21" s="11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2:37" x14ac:dyDescent="0.2">
      <c r="B22" s="3"/>
      <c r="C22" s="3"/>
      <c r="D22" s="3"/>
      <c r="E22" s="3"/>
      <c r="F22" s="3"/>
      <c r="G22" s="115"/>
      <c r="H22" s="115"/>
      <c r="I22" s="11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2:37" x14ac:dyDescent="0.2">
      <c r="B23" s="3"/>
      <c r="C23" s="3"/>
      <c r="D23" s="3"/>
      <c r="E23" s="3"/>
      <c r="F23" s="3"/>
      <c r="G23" s="115"/>
      <c r="H23" s="115"/>
      <c r="I23" s="11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2:37" x14ac:dyDescent="0.2">
      <c r="B24" s="3"/>
      <c r="C24" s="3"/>
      <c r="D24" s="3"/>
      <c r="E24" s="3"/>
      <c r="F24" s="3"/>
      <c r="G24" s="115"/>
      <c r="H24" s="115"/>
      <c r="I24" s="11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2:37" x14ac:dyDescent="0.2">
      <c r="B25" s="3"/>
      <c r="C25" s="3"/>
      <c r="D25" s="3"/>
      <c r="E25" s="3"/>
      <c r="F25" s="3"/>
      <c r="G25" s="115"/>
      <c r="H25" s="115"/>
      <c r="I25" s="11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2:37" x14ac:dyDescent="0.2">
      <c r="B26" s="3"/>
      <c r="C26" s="3"/>
      <c r="D26" s="3"/>
      <c r="E26" s="3"/>
      <c r="F26" s="3"/>
      <c r="G26" s="115"/>
      <c r="H26" s="115"/>
      <c r="I26" s="11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2:37" x14ac:dyDescent="0.2">
      <c r="B27" s="3"/>
      <c r="C27" s="3"/>
      <c r="D27" s="3"/>
      <c r="E27" s="3"/>
      <c r="F27" s="3"/>
      <c r="G27" s="115"/>
      <c r="H27" s="115"/>
      <c r="I27" s="11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2:37" x14ac:dyDescent="0.2">
      <c r="B28" s="3"/>
      <c r="C28" s="3"/>
      <c r="D28" s="3"/>
      <c r="E28" s="3"/>
      <c r="F28" s="3"/>
      <c r="G28" s="115"/>
      <c r="H28" s="115"/>
      <c r="I28" s="11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2:37" x14ac:dyDescent="0.2">
      <c r="B29" s="3"/>
      <c r="C29" s="3"/>
      <c r="D29" s="3"/>
      <c r="E29" s="3"/>
      <c r="F29" s="3"/>
      <c r="G29" s="115"/>
      <c r="H29" s="115"/>
      <c r="I29" s="11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2:37" x14ac:dyDescent="0.2">
      <c r="B30" s="3"/>
      <c r="C30" s="3"/>
      <c r="D30" s="3"/>
      <c r="E30" s="3"/>
      <c r="F30" s="3"/>
      <c r="G30" s="115"/>
      <c r="H30" s="115"/>
      <c r="I30" s="11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2:37" x14ac:dyDescent="0.2">
      <c r="B31" s="3"/>
      <c r="C31" s="3"/>
      <c r="D31" s="3"/>
      <c r="E31" s="3"/>
      <c r="F31" s="3"/>
      <c r="G31" s="115"/>
      <c r="H31" s="115"/>
      <c r="I31" s="11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2:37" x14ac:dyDescent="0.2">
      <c r="B32" s="3"/>
      <c r="C32" s="3"/>
      <c r="D32" s="3"/>
      <c r="E32" s="3"/>
      <c r="F32" s="3"/>
      <c r="G32" s="115"/>
      <c r="H32" s="115"/>
      <c r="I32" s="11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2:37" x14ac:dyDescent="0.2">
      <c r="B33" s="3"/>
      <c r="C33" s="3"/>
      <c r="D33" s="3"/>
      <c r="E33" s="3"/>
      <c r="F33" s="3"/>
      <c r="G33" s="115"/>
      <c r="H33" s="115"/>
      <c r="I33" s="11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2:37" x14ac:dyDescent="0.2">
      <c r="B34" s="3"/>
      <c r="C34" s="3"/>
      <c r="D34" s="3"/>
      <c r="E34" s="3"/>
      <c r="F34" s="3"/>
      <c r="G34" s="115"/>
      <c r="H34" s="115"/>
      <c r="I34" s="11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2:37" x14ac:dyDescent="0.2">
      <c r="B35" s="3"/>
      <c r="C35" s="3"/>
      <c r="D35" s="3"/>
      <c r="E35" s="3"/>
      <c r="F35" s="3"/>
      <c r="G35" s="115"/>
      <c r="H35" s="115"/>
      <c r="I35" s="11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2:37" x14ac:dyDescent="0.2">
      <c r="B36" s="3"/>
      <c r="C36" s="3"/>
      <c r="D36" s="3"/>
      <c r="E36" s="3"/>
      <c r="F36" s="3"/>
      <c r="G36" s="115"/>
      <c r="H36" s="115"/>
      <c r="I36" s="11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2:37" x14ac:dyDescent="0.2">
      <c r="B37" s="3"/>
      <c r="C37" s="3"/>
      <c r="D37" s="3"/>
      <c r="E37" s="3"/>
      <c r="F37" s="3"/>
      <c r="G37" s="115"/>
      <c r="H37" s="115"/>
      <c r="I37" s="11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2:37" x14ac:dyDescent="0.2">
      <c r="B38" s="3"/>
      <c r="C38" s="3"/>
      <c r="D38" s="3"/>
      <c r="E38" s="3"/>
      <c r="F38" s="3"/>
      <c r="G38" s="115"/>
      <c r="H38" s="115"/>
      <c r="I38" s="11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2:37" x14ac:dyDescent="0.2">
      <c r="B39" s="3"/>
      <c r="C39" s="3"/>
      <c r="D39" s="3"/>
      <c r="E39" s="3"/>
      <c r="F39" s="3"/>
      <c r="G39" s="115"/>
      <c r="H39" s="115"/>
      <c r="I39" s="11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B40" s="3"/>
      <c r="C40" s="3"/>
      <c r="D40" s="3"/>
      <c r="E40" s="3"/>
      <c r="F40" s="3"/>
      <c r="G40" s="115"/>
      <c r="H40" s="115"/>
      <c r="I40" s="11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B41" s="3"/>
      <c r="C41" s="3"/>
      <c r="D41" s="3"/>
      <c r="E41" s="3"/>
      <c r="F41" s="3"/>
      <c r="G41" s="115"/>
      <c r="H41" s="115"/>
      <c r="I41" s="11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2:37" x14ac:dyDescent="0.2">
      <c r="B42" s="3"/>
      <c r="C42" s="3"/>
      <c r="D42" s="3"/>
      <c r="E42" s="3"/>
      <c r="F42" s="3"/>
      <c r="G42" s="115"/>
      <c r="H42" s="115"/>
      <c r="I42" s="11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2:37" x14ac:dyDescent="0.2">
      <c r="B43" s="3"/>
      <c r="C43" s="3"/>
      <c r="D43" s="3"/>
      <c r="E43" s="3"/>
      <c r="F43" s="3"/>
      <c r="G43" s="115"/>
      <c r="H43" s="115"/>
      <c r="I43" s="11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2:37" x14ac:dyDescent="0.2">
      <c r="B44" s="3"/>
      <c r="C44" s="3"/>
      <c r="D44" s="3"/>
      <c r="E44" s="3"/>
      <c r="F44" s="3"/>
      <c r="G44" s="115"/>
      <c r="H44" s="115"/>
      <c r="I44" s="11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2:37" x14ac:dyDescent="0.2">
      <c r="B45" s="3"/>
      <c r="C45" s="3"/>
      <c r="D45" s="3"/>
      <c r="E45" s="3"/>
      <c r="F45" s="3"/>
      <c r="G45" s="115"/>
      <c r="H45" s="115"/>
      <c r="I45" s="11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2:37" x14ac:dyDescent="0.2">
      <c r="B46" s="3"/>
      <c r="C46" s="3"/>
      <c r="D46" s="3"/>
      <c r="E46" s="3"/>
      <c r="F46" s="3"/>
      <c r="G46" s="115"/>
      <c r="H46" s="115"/>
      <c r="I46" s="11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2:37" x14ac:dyDescent="0.2">
      <c r="B47" s="3"/>
      <c r="C47" s="3"/>
      <c r="D47" s="3"/>
      <c r="E47" s="3"/>
      <c r="F47" s="3"/>
      <c r="G47" s="115"/>
      <c r="H47" s="115"/>
      <c r="I47" s="11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2:37" x14ac:dyDescent="0.2">
      <c r="B48" s="3"/>
      <c r="C48" s="3"/>
      <c r="D48" s="3"/>
      <c r="E48" s="3"/>
      <c r="F48" s="3"/>
      <c r="G48" s="115"/>
      <c r="H48" s="115"/>
      <c r="I48" s="11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2:37" x14ac:dyDescent="0.2">
      <c r="B49" s="3"/>
      <c r="C49" s="3"/>
      <c r="D49" s="3"/>
      <c r="E49" s="3"/>
      <c r="F49" s="3"/>
      <c r="G49" s="115"/>
      <c r="H49" s="115"/>
      <c r="I49" s="11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2:37" x14ac:dyDescent="0.2">
      <c r="B50" s="3"/>
      <c r="C50" s="3"/>
      <c r="D50" s="3"/>
      <c r="E50" s="3"/>
      <c r="F50" s="3"/>
      <c r="G50" s="115"/>
      <c r="H50" s="115"/>
      <c r="I50" s="11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2:37" x14ac:dyDescent="0.2">
      <c r="B51" s="3"/>
      <c r="C51" s="3"/>
      <c r="D51" s="3"/>
      <c r="E51" s="3"/>
      <c r="F51" s="3"/>
      <c r="G51" s="115"/>
      <c r="H51" s="115"/>
      <c r="I51" s="11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2:37" x14ac:dyDescent="0.2">
      <c r="B52" s="3"/>
      <c r="C52" s="3"/>
      <c r="D52" s="3"/>
      <c r="E52" s="3"/>
      <c r="F52" s="3"/>
      <c r="G52" s="115"/>
      <c r="H52" s="115"/>
      <c r="I52" s="11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2:37" x14ac:dyDescent="0.2">
      <c r="B53" s="3"/>
      <c r="C53" s="3"/>
      <c r="D53" s="3"/>
      <c r="E53" s="3"/>
      <c r="F53" s="3"/>
      <c r="G53" s="115"/>
      <c r="H53" s="115"/>
      <c r="I53" s="11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2:37" x14ac:dyDescent="0.2">
      <c r="B54" s="3"/>
      <c r="C54" s="3"/>
      <c r="D54" s="3"/>
      <c r="E54" s="3"/>
      <c r="F54" s="3"/>
      <c r="G54" s="115"/>
      <c r="H54" s="115"/>
      <c r="I54" s="11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2:37" x14ac:dyDescent="0.2">
      <c r="B55" s="3"/>
      <c r="C55" s="3"/>
      <c r="D55" s="3"/>
      <c r="E55" s="3"/>
      <c r="F55" s="3"/>
      <c r="G55" s="115"/>
      <c r="H55" s="115"/>
      <c r="I55" s="11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2:37" x14ac:dyDescent="0.2">
      <c r="B56" s="3"/>
      <c r="C56" s="3"/>
      <c r="D56" s="3"/>
      <c r="E56" s="3"/>
      <c r="F56" s="3"/>
      <c r="G56" s="115"/>
      <c r="H56" s="115"/>
      <c r="I56" s="11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2:37" x14ac:dyDescent="0.2">
      <c r="B57" s="3"/>
      <c r="C57" s="3"/>
      <c r="D57" s="3"/>
      <c r="E57" s="3"/>
      <c r="F57" s="3"/>
      <c r="G57" s="115"/>
      <c r="H57" s="115"/>
      <c r="I57" s="11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2:37" x14ac:dyDescent="0.2">
      <c r="B58" s="3"/>
      <c r="C58" s="3"/>
      <c r="D58" s="3"/>
      <c r="E58" s="3"/>
      <c r="F58" s="3"/>
      <c r="G58" s="115"/>
      <c r="H58" s="115"/>
      <c r="I58" s="11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2:37" x14ac:dyDescent="0.2">
      <c r="B59" s="3"/>
      <c r="C59" s="3"/>
      <c r="D59" s="3"/>
      <c r="E59" s="3"/>
      <c r="F59" s="3"/>
      <c r="G59" s="115"/>
      <c r="H59" s="115"/>
      <c r="I59" s="11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2:37" x14ac:dyDescent="0.2">
      <c r="B60" s="3"/>
      <c r="C60" s="3"/>
      <c r="D60" s="3"/>
      <c r="E60" s="3"/>
      <c r="F60" s="3"/>
      <c r="G60" s="115"/>
      <c r="H60" s="115"/>
      <c r="I60" s="11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2:37" x14ac:dyDescent="0.2">
      <c r="B61" s="3"/>
      <c r="C61" s="3"/>
      <c r="D61" s="3"/>
      <c r="E61" s="3"/>
      <c r="F61" s="3"/>
      <c r="G61" s="115"/>
      <c r="H61" s="115"/>
      <c r="I61" s="11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2:37" x14ac:dyDescent="0.2">
      <c r="B62" s="3"/>
      <c r="C62" s="3"/>
      <c r="D62" s="3"/>
      <c r="E62" s="3"/>
      <c r="F62" s="3"/>
      <c r="G62" s="115"/>
      <c r="H62" s="115"/>
      <c r="I62" s="11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2:37" x14ac:dyDescent="0.2">
      <c r="B63" s="3"/>
      <c r="C63" s="3"/>
      <c r="D63" s="3"/>
      <c r="E63" s="3"/>
      <c r="F63" s="3"/>
      <c r="G63" s="115"/>
      <c r="H63" s="115"/>
      <c r="I63" s="11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</sheetData>
  <dataValidations count="1">
    <dataValidation type="list" allowBlank="1" showInputMessage="1" showErrorMessage="1" sqref="B4:B1048576" xr:uid="{00000000-0002-0000-0300-000000000000}">
      <formula1>OFFSET($C$1,3,0,COUNTA($C:$C)-2,1)</formula1>
    </dataValidation>
  </dataValidations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300-000001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300-000002000000}">
          <x14:formula1>
            <xm:f>'controlled vocabulary'!$P$4:$P$9</xm:f>
          </x14:formula1>
          <xm:sqref>J4:J1048576</xm:sqref>
        </x14:dataValidation>
        <x14:dataValidation type="list" allowBlank="1" showInputMessage="1" showErrorMessage="1" xr:uid="{00000000-0002-0000-0300-000003000000}">
          <x14:formula1>
            <xm:f>'controlled vocabulary'!$R$4:$R$7</xm:f>
          </x14:formula1>
          <xm:sqref>M4:M1048576</xm:sqref>
        </x14:dataValidation>
        <x14:dataValidation type="list" allowBlank="1" showInputMessage="1" showErrorMessage="1" xr:uid="{00000000-0002-0000-0300-000004000000}">
          <x14:formula1>
            <xm:f>'controlled vocabulary'!$T$4:$T$9</xm:f>
          </x14:formula1>
          <xm:sqref>P4:P1048576</xm:sqref>
        </x14:dataValidation>
        <x14:dataValidation type="list" allowBlank="1" showInputMessage="1" showErrorMessage="1" xr:uid="{00000000-0002-0000-0300-000005000000}">
          <x14:formula1>
            <xm:f>'controlled vocabulary'!$S$4:$S$6</xm:f>
          </x14:formula1>
          <xm:sqref>N4:N1048576</xm:sqref>
        </x14:dataValidation>
        <x14:dataValidation type="list" allowBlank="1" showInputMessage="1" showErrorMessage="1" xr:uid="{00000000-0002-0000-0300-000006000000}">
          <x14:formula1>
            <xm:f>'controlled vocabulary'!$Q$4:$Q$9</xm:f>
          </x14:formula1>
          <xm:sqref>L4:L1048576</xm:sqref>
        </x14:dataValidation>
        <x14:dataValidation type="list" allowBlank="1" showInputMessage="1" showErrorMessage="1" xr:uid="{00000000-0002-0000-0300-000007000000}">
          <x14:formula1>
            <xm:f>'controlled vocabulary'!$U$4:$U$6</xm:f>
          </x14:formula1>
          <xm:sqref>R4:R1048576</xm:sqref>
        </x14:dataValidation>
        <x14:dataValidation type="list" allowBlank="1" showInputMessage="1" showErrorMessage="1" xr:uid="{00000000-0002-0000-0300-000008000000}">
          <x14:formula1>
            <xm:f>'controlled vocabulary'!$X$4:$X$9</xm:f>
          </x14:formula1>
          <xm:sqref>Z4:Z1048576</xm:sqref>
        </x14:dataValidation>
        <x14:dataValidation type="list" allowBlank="1" showInputMessage="1" showErrorMessage="1" xr:uid="{00000000-0002-0000-0300-000009000000}">
          <x14:formula1>
            <xm:f>OFFSET(profile!$D$1,3,0,COUNTA(profile!$D:$D)-2,1)</xm:f>
          </x14:formula1>
          <xm:sqref>D4:D1048576</xm:sqref>
        </x14:dataValidation>
        <x14:dataValidation type="list" allowBlank="1" showInputMessage="1" showErrorMessage="1" xr:uid="{00000000-0002-0000-0300-00000A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T1000"/>
  <sheetViews>
    <sheetView topLeftCell="AN1" workbookViewId="0">
      <selection activeCell="C12" sqref="C12"/>
    </sheetView>
  </sheetViews>
  <sheetFormatPr baseColWidth="10" defaultColWidth="15.1640625" defaultRowHeight="15" customHeight="1" x14ac:dyDescent="0.2"/>
  <cols>
    <col min="1" max="1" width="14.5" style="3" customWidth="1"/>
    <col min="2" max="2" width="11.5" style="10" bestFit="1" customWidth="1"/>
    <col min="3" max="3" width="24.5" style="10" customWidth="1"/>
    <col min="4" max="4" width="27" style="10" customWidth="1"/>
    <col min="5" max="5" width="14.5" style="121" bestFit="1" customWidth="1"/>
    <col min="6" max="6" width="15.1640625" style="121" bestFit="1" customWidth="1"/>
    <col min="7" max="7" width="14.5" style="121" bestFit="1" customWidth="1"/>
    <col min="8" max="8" width="26.1640625" style="10" customWidth="1"/>
    <col min="9" max="9" width="8.5" style="10" bestFit="1" customWidth="1"/>
    <col min="10" max="10" width="10" style="10" customWidth="1"/>
    <col min="11" max="11" width="9" style="3" customWidth="1"/>
    <col min="12" max="12" width="13" style="3" customWidth="1"/>
    <col min="13" max="15" width="10.5" style="3" customWidth="1"/>
    <col min="16" max="16" width="15.1640625" style="3" customWidth="1"/>
    <col min="17" max="17" width="14.1640625" style="3" customWidth="1"/>
    <col min="18" max="18" width="14.5" style="3" customWidth="1"/>
    <col min="19" max="19" width="14" style="3" customWidth="1"/>
    <col min="20" max="20" width="11" style="3" customWidth="1"/>
    <col min="21" max="21" width="13" style="3" customWidth="1"/>
    <col min="22" max="22" width="12" style="3" customWidth="1"/>
    <col min="23" max="23" width="18.1640625" style="3" customWidth="1"/>
    <col min="24" max="24" width="13" style="3" customWidth="1"/>
    <col min="25" max="25" width="16.5" style="3" customWidth="1"/>
    <col min="26" max="26" width="10.83203125" style="3" customWidth="1"/>
    <col min="27" max="27" width="10" style="3" customWidth="1"/>
    <col min="28" max="28" width="10.1640625" style="3" customWidth="1"/>
    <col min="29" max="29" width="21.1640625" style="7" customWidth="1"/>
    <col min="30" max="30" width="12.5" style="3" customWidth="1"/>
    <col min="31" max="31" width="10.5" style="3" customWidth="1"/>
    <col min="32" max="37" width="13.5" style="3" customWidth="1"/>
    <col min="38" max="38" width="8.5" style="3" customWidth="1"/>
    <col min="39" max="39" width="13.83203125" style="3" bestFit="1" customWidth="1"/>
    <col min="40" max="40" width="12.5" style="3" bestFit="1" customWidth="1"/>
    <col min="41" max="41" width="8.5" style="7" customWidth="1"/>
    <col min="42" max="42" width="16" style="7" bestFit="1" customWidth="1"/>
    <col min="43" max="43" width="19" style="7" bestFit="1" customWidth="1"/>
    <col min="44" max="44" width="10.1640625" style="3" customWidth="1"/>
    <col min="45" max="45" width="8.5" style="3" customWidth="1"/>
    <col min="46" max="46" width="11.5" style="3" customWidth="1"/>
    <col min="47" max="47" width="8.1640625" style="3" customWidth="1"/>
    <col min="48" max="48" width="8.5" style="3" customWidth="1"/>
    <col min="49" max="49" width="11.1640625" style="3" customWidth="1"/>
    <col min="50" max="50" width="16.5" style="3" customWidth="1"/>
    <col min="51" max="51" width="10.5" style="3" customWidth="1"/>
    <col min="52" max="52" width="8.83203125" style="3" customWidth="1"/>
    <col min="53" max="54" width="13.5" style="3" customWidth="1"/>
    <col min="55" max="55" width="15.5" style="3" customWidth="1"/>
    <col min="56" max="56" width="21.5" style="3" customWidth="1"/>
    <col min="57" max="57" width="13.5" style="3" customWidth="1"/>
    <col min="58" max="58" width="14.1640625" style="3" customWidth="1"/>
    <col min="59" max="59" width="9" style="3" customWidth="1"/>
    <col min="60" max="60" width="15.1640625" style="3" customWidth="1"/>
    <col min="61" max="61" width="9.83203125" style="3" customWidth="1"/>
    <col min="62" max="62" width="10.1640625" style="3" customWidth="1"/>
    <col min="63" max="63" width="11.5" style="3" customWidth="1"/>
    <col min="64" max="64" width="13.5" style="3" customWidth="1"/>
    <col min="65" max="65" width="13.83203125" style="3" customWidth="1"/>
    <col min="66" max="66" width="12.5" style="3" customWidth="1"/>
    <col min="67" max="67" width="13.1640625" style="3" customWidth="1"/>
    <col min="68" max="68" width="26.1640625" style="3" customWidth="1"/>
    <col min="69" max="69" width="11.1640625" style="3" customWidth="1"/>
    <col min="70" max="71" width="12.5" style="3" customWidth="1"/>
    <col min="72" max="72" width="11.5" style="3" customWidth="1"/>
    <col min="73" max="73" width="25.5" style="3" customWidth="1"/>
    <col min="74" max="74" width="13" style="3" customWidth="1"/>
    <col min="75" max="75" width="12.5" style="3" customWidth="1"/>
    <col min="76" max="76" width="13" style="3" customWidth="1"/>
    <col min="77" max="77" width="12.1640625" style="3" customWidth="1"/>
    <col min="78" max="78" width="26.1640625" style="3" customWidth="1"/>
    <col min="79" max="79" width="11.1640625" style="3" customWidth="1"/>
    <col min="80" max="80" width="10.5" style="3" customWidth="1"/>
    <col min="81" max="81" width="10.83203125" style="3" customWidth="1"/>
    <col min="82" max="82" width="25.5" style="3" customWidth="1"/>
    <col min="83" max="83" width="11.5" style="3" customWidth="1"/>
    <col min="84" max="84" width="15.5" style="3" customWidth="1"/>
    <col min="85" max="85" width="14.5" style="3" customWidth="1"/>
    <col min="86" max="88" width="12.5" style="3" customWidth="1"/>
    <col min="89" max="89" width="11.83203125" style="3" customWidth="1"/>
    <col min="90" max="90" width="11.5" style="3" customWidth="1"/>
    <col min="91" max="91" width="12.1640625" style="3" customWidth="1"/>
    <col min="92" max="92" width="18" style="3" customWidth="1"/>
    <col min="93" max="93" width="11.5" style="3" customWidth="1"/>
    <col min="94" max="94" width="17.5" style="3" customWidth="1"/>
    <col min="95" max="95" width="12.1640625" style="3" customWidth="1"/>
    <col min="96" max="96" width="12.5" style="3" customWidth="1"/>
    <col min="97" max="16384" width="15.1640625" style="3"/>
  </cols>
  <sheetData>
    <row r="1" spans="1:98" s="34" customFormat="1" ht="27" customHeight="1" x14ac:dyDescent="0.2">
      <c r="A1" s="18" t="s">
        <v>673</v>
      </c>
      <c r="B1" s="18" t="s">
        <v>14</v>
      </c>
      <c r="C1" s="18" t="s">
        <v>462</v>
      </c>
      <c r="D1" s="18" t="s">
        <v>493</v>
      </c>
      <c r="E1" s="118" t="s">
        <v>746</v>
      </c>
      <c r="F1" s="112" t="s">
        <v>747</v>
      </c>
      <c r="G1" s="112" t="s">
        <v>748</v>
      </c>
      <c r="H1" s="19" t="s">
        <v>494</v>
      </c>
      <c r="I1" s="18" t="s">
        <v>495</v>
      </c>
      <c r="J1" s="18" t="s">
        <v>496</v>
      </c>
      <c r="K1" s="24" t="s">
        <v>497</v>
      </c>
      <c r="L1" s="24" t="s">
        <v>498</v>
      </c>
      <c r="M1" s="24" t="s">
        <v>499</v>
      </c>
      <c r="N1" s="24" t="s">
        <v>500</v>
      </c>
      <c r="O1" s="24" t="s">
        <v>501</v>
      </c>
      <c r="P1" s="35" t="s">
        <v>502</v>
      </c>
      <c r="Q1" s="35" t="s">
        <v>503</v>
      </c>
      <c r="R1" s="35" t="s">
        <v>504</v>
      </c>
      <c r="S1" s="35" t="s">
        <v>505</v>
      </c>
      <c r="T1" s="35" t="s">
        <v>506</v>
      </c>
      <c r="U1" s="35" t="s">
        <v>507</v>
      </c>
      <c r="V1" s="35" t="s">
        <v>508</v>
      </c>
      <c r="W1" s="35" t="s">
        <v>509</v>
      </c>
      <c r="X1" s="35" t="s">
        <v>510</v>
      </c>
      <c r="Y1" s="35" t="s">
        <v>511</v>
      </c>
      <c r="Z1" s="36" t="s">
        <v>512</v>
      </c>
      <c r="AA1" s="36" t="s">
        <v>513</v>
      </c>
      <c r="AB1" s="37" t="s">
        <v>514</v>
      </c>
      <c r="AC1" s="37" t="s">
        <v>515</v>
      </c>
      <c r="AD1" s="37" t="s">
        <v>516</v>
      </c>
      <c r="AE1" s="37" t="s">
        <v>517</v>
      </c>
      <c r="AF1" s="37" t="s">
        <v>772</v>
      </c>
      <c r="AG1" s="37" t="s">
        <v>518</v>
      </c>
      <c r="AH1" s="37" t="s">
        <v>519</v>
      </c>
      <c r="AI1" s="37" t="s">
        <v>520</v>
      </c>
      <c r="AJ1" s="37" t="s">
        <v>521</v>
      </c>
      <c r="AK1" s="37" t="s">
        <v>522</v>
      </c>
      <c r="AL1" s="37" t="s">
        <v>773</v>
      </c>
      <c r="AM1" s="38" t="s">
        <v>523</v>
      </c>
      <c r="AN1" s="38" t="s">
        <v>524</v>
      </c>
      <c r="AO1" s="38" t="s">
        <v>525</v>
      </c>
      <c r="AP1" s="38" t="s">
        <v>526</v>
      </c>
      <c r="AQ1" s="38" t="s">
        <v>527</v>
      </c>
      <c r="AR1" s="38" t="s">
        <v>528</v>
      </c>
      <c r="AS1" s="38" t="s">
        <v>529</v>
      </c>
      <c r="AT1" s="38" t="s">
        <v>530</v>
      </c>
      <c r="AU1" s="39" t="s">
        <v>531</v>
      </c>
      <c r="AV1" s="39" t="s">
        <v>532</v>
      </c>
      <c r="AW1" s="39" t="s">
        <v>533</v>
      </c>
      <c r="AX1" s="39" t="s">
        <v>534</v>
      </c>
      <c r="AY1" s="39" t="s">
        <v>535</v>
      </c>
      <c r="AZ1" s="39" t="s">
        <v>536</v>
      </c>
      <c r="BA1" s="39" t="s">
        <v>537</v>
      </c>
      <c r="BB1" s="39" t="s">
        <v>538</v>
      </c>
      <c r="BC1" s="39" t="s">
        <v>539</v>
      </c>
      <c r="BD1" s="39" t="s">
        <v>540</v>
      </c>
      <c r="BE1" s="39" t="s">
        <v>541</v>
      </c>
      <c r="BF1" s="40" t="s">
        <v>542</v>
      </c>
      <c r="BG1" s="40" t="s">
        <v>543</v>
      </c>
      <c r="BH1" s="40" t="s">
        <v>544</v>
      </c>
      <c r="BI1" s="41" t="s">
        <v>774</v>
      </c>
      <c r="BJ1" s="41" t="s">
        <v>775</v>
      </c>
      <c r="BK1" s="41" t="s">
        <v>545</v>
      </c>
      <c r="BL1" s="41" t="s">
        <v>546</v>
      </c>
      <c r="BM1" s="41" t="s">
        <v>547</v>
      </c>
      <c r="BN1" s="41" t="s">
        <v>548</v>
      </c>
      <c r="BO1" s="41" t="s">
        <v>549</v>
      </c>
      <c r="BP1" s="41" t="s">
        <v>550</v>
      </c>
      <c r="BQ1" s="41" t="s">
        <v>551</v>
      </c>
      <c r="BR1" s="41" t="s">
        <v>552</v>
      </c>
      <c r="BS1" s="41" t="s">
        <v>553</v>
      </c>
      <c r="BT1" s="41" t="s">
        <v>554</v>
      </c>
      <c r="BU1" s="41" t="s">
        <v>555</v>
      </c>
      <c r="BV1" s="41" t="s">
        <v>556</v>
      </c>
      <c r="BW1" s="41" t="s">
        <v>557</v>
      </c>
      <c r="BX1" s="41" t="s">
        <v>558</v>
      </c>
      <c r="BY1" s="41" t="s">
        <v>559</v>
      </c>
      <c r="BZ1" s="41" t="s">
        <v>560</v>
      </c>
      <c r="CA1" s="41" t="s">
        <v>561</v>
      </c>
      <c r="CB1" s="41" t="s">
        <v>562</v>
      </c>
      <c r="CC1" s="41" t="s">
        <v>563</v>
      </c>
      <c r="CD1" s="41" t="s">
        <v>564</v>
      </c>
      <c r="CE1" s="42" t="s">
        <v>565</v>
      </c>
      <c r="CF1" s="42" t="s">
        <v>566</v>
      </c>
      <c r="CG1" s="42" t="s">
        <v>567</v>
      </c>
      <c r="CH1" s="42" t="s">
        <v>568</v>
      </c>
      <c r="CI1" s="42" t="s">
        <v>569</v>
      </c>
      <c r="CJ1" s="42" t="s">
        <v>776</v>
      </c>
      <c r="CK1" s="42" t="s">
        <v>570</v>
      </c>
      <c r="CL1" s="42" t="s">
        <v>571</v>
      </c>
      <c r="CM1" s="42" t="s">
        <v>572</v>
      </c>
      <c r="CN1" s="42" t="s">
        <v>573</v>
      </c>
      <c r="CO1" s="42" t="s">
        <v>574</v>
      </c>
      <c r="CP1" s="42" t="s">
        <v>575</v>
      </c>
      <c r="CQ1" s="42" t="s">
        <v>576</v>
      </c>
      <c r="CR1" s="42" t="s">
        <v>577</v>
      </c>
      <c r="CS1" s="96" t="s">
        <v>578</v>
      </c>
      <c r="CT1" s="96" t="s">
        <v>579</v>
      </c>
    </row>
    <row r="2" spans="1:98" s="21" customFormat="1" ht="45" customHeight="1" x14ac:dyDescent="0.2">
      <c r="A2" s="22" t="s">
        <v>674</v>
      </c>
      <c r="B2" s="26" t="s">
        <v>16</v>
      </c>
      <c r="C2" s="26" t="s">
        <v>332</v>
      </c>
      <c r="D2" s="26" t="s">
        <v>56</v>
      </c>
      <c r="E2" s="113" t="s">
        <v>738</v>
      </c>
      <c r="F2" s="113" t="s">
        <v>739</v>
      </c>
      <c r="G2" s="113" t="s">
        <v>737</v>
      </c>
      <c r="H2" s="26" t="s">
        <v>333</v>
      </c>
      <c r="I2" s="26" t="s">
        <v>57</v>
      </c>
      <c r="J2" s="26" t="s">
        <v>58</v>
      </c>
      <c r="K2" s="22" t="s">
        <v>59</v>
      </c>
      <c r="L2" s="22" t="s">
        <v>395</v>
      </c>
      <c r="M2" s="22" t="s">
        <v>60</v>
      </c>
      <c r="N2" s="22" t="s">
        <v>61</v>
      </c>
      <c r="O2" s="22" t="s">
        <v>62</v>
      </c>
      <c r="P2" s="44" t="s">
        <v>63</v>
      </c>
      <c r="Q2" s="44" t="s">
        <v>64</v>
      </c>
      <c r="R2" s="44" t="s">
        <v>65</v>
      </c>
      <c r="S2" s="44" t="s">
        <v>68</v>
      </c>
      <c r="T2" s="44" t="s">
        <v>69</v>
      </c>
      <c r="U2" s="44" t="s">
        <v>70</v>
      </c>
      <c r="V2" s="44" t="s">
        <v>71</v>
      </c>
      <c r="W2" s="44" t="s">
        <v>72</v>
      </c>
      <c r="X2" s="44" t="s">
        <v>73</v>
      </c>
      <c r="Y2" s="44" t="s">
        <v>394</v>
      </c>
      <c r="Z2" s="45" t="s">
        <v>66</v>
      </c>
      <c r="AA2" s="45" t="s">
        <v>67</v>
      </c>
      <c r="AB2" s="46" t="s">
        <v>281</v>
      </c>
      <c r="AC2" s="46" t="s">
        <v>285</v>
      </c>
      <c r="AD2" s="46" t="s">
        <v>74</v>
      </c>
      <c r="AE2" s="46" t="s">
        <v>75</v>
      </c>
      <c r="AF2" s="46" t="s">
        <v>76</v>
      </c>
      <c r="AG2" s="46" t="s">
        <v>289</v>
      </c>
      <c r="AH2" s="46" t="s">
        <v>290</v>
      </c>
      <c r="AI2" s="46" t="s">
        <v>291</v>
      </c>
      <c r="AJ2" s="46" t="s">
        <v>292</v>
      </c>
      <c r="AK2" s="46" t="s">
        <v>77</v>
      </c>
      <c r="AL2" s="46" t="s">
        <v>78</v>
      </c>
      <c r="AM2" s="47" t="s">
        <v>246</v>
      </c>
      <c r="AN2" s="47" t="s">
        <v>248</v>
      </c>
      <c r="AO2" s="47" t="s">
        <v>249</v>
      </c>
      <c r="AP2" s="47" t="s">
        <v>79</v>
      </c>
      <c r="AQ2" s="47" t="s">
        <v>80</v>
      </c>
      <c r="AR2" s="47" t="s">
        <v>81</v>
      </c>
      <c r="AS2" s="47" t="s">
        <v>82</v>
      </c>
      <c r="AT2" s="47" t="s">
        <v>83</v>
      </c>
      <c r="AU2" s="48" t="s">
        <v>84</v>
      </c>
      <c r="AV2" s="48" t="s">
        <v>85</v>
      </c>
      <c r="AW2" s="48" t="s">
        <v>86</v>
      </c>
      <c r="AX2" s="48" t="s">
        <v>87</v>
      </c>
      <c r="AY2" s="48" t="s">
        <v>88</v>
      </c>
      <c r="AZ2" s="48" t="s">
        <v>89</v>
      </c>
      <c r="BA2" s="48" t="s">
        <v>393</v>
      </c>
      <c r="BB2" s="48" t="s">
        <v>392</v>
      </c>
      <c r="BC2" s="48" t="s">
        <v>90</v>
      </c>
      <c r="BD2" s="48" t="s">
        <v>391</v>
      </c>
      <c r="BE2" s="48" t="s">
        <v>390</v>
      </c>
      <c r="BF2" s="50" t="s">
        <v>91</v>
      </c>
      <c r="BG2" s="50" t="s">
        <v>92</v>
      </c>
      <c r="BH2" s="50" t="s">
        <v>93</v>
      </c>
      <c r="BI2" s="51" t="s">
        <v>94</v>
      </c>
      <c r="BJ2" s="51" t="s">
        <v>388</v>
      </c>
      <c r="BK2" s="51" t="s">
        <v>389</v>
      </c>
      <c r="BL2" s="51" t="s">
        <v>95</v>
      </c>
      <c r="BM2" s="51" t="s">
        <v>96</v>
      </c>
      <c r="BN2" s="52" t="s">
        <v>97</v>
      </c>
      <c r="BO2" s="52" t="s">
        <v>98</v>
      </c>
      <c r="BP2" s="51" t="s">
        <v>99</v>
      </c>
      <c r="BQ2" s="51" t="s">
        <v>100</v>
      </c>
      <c r="BR2" s="51" t="s">
        <v>101</v>
      </c>
      <c r="BS2" s="52" t="s">
        <v>102</v>
      </c>
      <c r="BT2" s="52" t="s">
        <v>103</v>
      </c>
      <c r="BU2" s="51" t="s">
        <v>104</v>
      </c>
      <c r="BV2" s="51" t="s">
        <v>105</v>
      </c>
      <c r="BW2" s="51" t="s">
        <v>106</v>
      </c>
      <c r="BX2" s="52" t="s">
        <v>107</v>
      </c>
      <c r="BY2" s="52" t="s">
        <v>108</v>
      </c>
      <c r="BZ2" s="51" t="s">
        <v>109</v>
      </c>
      <c r="CA2" s="51" t="s">
        <v>110</v>
      </c>
      <c r="CB2" s="51" t="s">
        <v>111</v>
      </c>
      <c r="CC2" s="52" t="s">
        <v>112</v>
      </c>
      <c r="CD2" s="51" t="s">
        <v>113</v>
      </c>
      <c r="CE2" s="53" t="s">
        <v>114</v>
      </c>
      <c r="CF2" s="53" t="s">
        <v>115</v>
      </c>
      <c r="CG2" s="53" t="s">
        <v>116</v>
      </c>
      <c r="CH2" s="53" t="s">
        <v>117</v>
      </c>
      <c r="CI2" s="53" t="s">
        <v>387</v>
      </c>
      <c r="CJ2" s="53" t="s">
        <v>118</v>
      </c>
      <c r="CK2" s="53" t="s">
        <v>119</v>
      </c>
      <c r="CL2" s="53" t="s">
        <v>120</v>
      </c>
      <c r="CM2" s="53" t="s">
        <v>121</v>
      </c>
      <c r="CN2" s="53" t="s">
        <v>386</v>
      </c>
      <c r="CO2" s="53" t="s">
        <v>122</v>
      </c>
      <c r="CP2" s="53" t="s">
        <v>123</v>
      </c>
      <c r="CQ2" s="53" t="s">
        <v>124</v>
      </c>
      <c r="CR2" s="53" t="s">
        <v>125</v>
      </c>
      <c r="CS2" s="54" t="s">
        <v>282</v>
      </c>
      <c r="CT2" s="54" t="s">
        <v>286</v>
      </c>
    </row>
    <row r="3" spans="1:98" s="34" customFormat="1" ht="34" customHeight="1" x14ac:dyDescent="0.2">
      <c r="A3" s="28" t="s">
        <v>366</v>
      </c>
      <c r="B3" s="27"/>
      <c r="C3" s="27"/>
      <c r="D3" s="27"/>
      <c r="E3" s="114" t="s">
        <v>735</v>
      </c>
      <c r="F3" s="114" t="s">
        <v>34</v>
      </c>
      <c r="G3" s="114" t="s">
        <v>736</v>
      </c>
      <c r="H3" s="92" t="s">
        <v>377</v>
      </c>
      <c r="I3" s="27" t="s">
        <v>40</v>
      </c>
      <c r="J3" s="27" t="s">
        <v>40</v>
      </c>
      <c r="K3" s="28"/>
      <c r="L3" s="92" t="s">
        <v>377</v>
      </c>
      <c r="M3" s="28"/>
      <c r="N3" s="28"/>
      <c r="O3" s="28" t="s">
        <v>385</v>
      </c>
      <c r="P3" s="56" t="s">
        <v>126</v>
      </c>
      <c r="Q3" s="56" t="s">
        <v>126</v>
      </c>
      <c r="R3" s="56"/>
      <c r="S3" s="56" t="s">
        <v>37</v>
      </c>
      <c r="T3" s="56" t="s">
        <v>37</v>
      </c>
      <c r="U3" s="56" t="s">
        <v>37</v>
      </c>
      <c r="V3" s="56" t="s">
        <v>37</v>
      </c>
      <c r="W3" s="56" t="s">
        <v>34</v>
      </c>
      <c r="X3" s="56" t="s">
        <v>127</v>
      </c>
      <c r="Y3" s="56"/>
      <c r="Z3" s="57"/>
      <c r="AA3" s="57"/>
      <c r="AB3" s="58"/>
      <c r="AC3" s="58" t="s">
        <v>284</v>
      </c>
      <c r="AD3" s="58" t="s">
        <v>128</v>
      </c>
      <c r="AE3" s="58" t="s">
        <v>129</v>
      </c>
      <c r="AF3" s="58" t="s">
        <v>129</v>
      </c>
      <c r="AG3" s="58" t="s">
        <v>129</v>
      </c>
      <c r="AH3" s="58" t="s">
        <v>129</v>
      </c>
      <c r="AI3" s="58" t="s">
        <v>129</v>
      </c>
      <c r="AJ3" s="58" t="s">
        <v>129</v>
      </c>
      <c r="AK3" s="58" t="s">
        <v>129</v>
      </c>
      <c r="AL3" s="58" t="s">
        <v>37</v>
      </c>
      <c r="AM3" s="59" t="s">
        <v>37</v>
      </c>
      <c r="AN3" s="59" t="s">
        <v>37</v>
      </c>
      <c r="AO3" s="59" t="s">
        <v>37</v>
      </c>
      <c r="AP3" s="59" t="s">
        <v>45</v>
      </c>
      <c r="AQ3" s="59" t="s">
        <v>45</v>
      </c>
      <c r="AR3" s="59" t="s">
        <v>37</v>
      </c>
      <c r="AS3" s="59" t="s">
        <v>130</v>
      </c>
      <c r="AT3" s="59" t="s">
        <v>37</v>
      </c>
      <c r="AU3" s="60" t="s">
        <v>131</v>
      </c>
      <c r="AV3" s="60" t="s">
        <v>131</v>
      </c>
      <c r="AW3" s="60" t="s">
        <v>55</v>
      </c>
      <c r="AX3" s="60"/>
      <c r="AY3" s="60" t="s">
        <v>132</v>
      </c>
      <c r="AZ3" s="60" t="s">
        <v>131</v>
      </c>
      <c r="BA3" s="60" t="s">
        <v>131</v>
      </c>
      <c r="BB3" s="60" t="s">
        <v>131</v>
      </c>
      <c r="BC3" s="60"/>
      <c r="BD3" s="60"/>
      <c r="BE3" s="60" t="s">
        <v>131</v>
      </c>
      <c r="BF3" s="61" t="s">
        <v>133</v>
      </c>
      <c r="BG3" s="61" t="s">
        <v>134</v>
      </c>
      <c r="BH3" s="61" t="s">
        <v>134</v>
      </c>
      <c r="BI3" s="62"/>
      <c r="BJ3" s="62"/>
      <c r="BK3" s="62"/>
      <c r="BL3" s="62" t="s">
        <v>135</v>
      </c>
      <c r="BM3" s="62" t="s">
        <v>135</v>
      </c>
      <c r="BN3" s="62" t="s">
        <v>135</v>
      </c>
      <c r="BO3" s="62" t="s">
        <v>135</v>
      </c>
      <c r="BP3" s="62"/>
      <c r="BQ3" s="62" t="s">
        <v>135</v>
      </c>
      <c r="BR3" s="62" t="s">
        <v>135</v>
      </c>
      <c r="BS3" s="62" t="s">
        <v>135</v>
      </c>
      <c r="BT3" s="62" t="s">
        <v>135</v>
      </c>
      <c r="BU3" s="62"/>
      <c r="BV3" s="62" t="s">
        <v>135</v>
      </c>
      <c r="BW3" s="62" t="s">
        <v>135</v>
      </c>
      <c r="BX3" s="62" t="s">
        <v>135</v>
      </c>
      <c r="BY3" s="62" t="s">
        <v>135</v>
      </c>
      <c r="BZ3" s="62" t="s">
        <v>135</v>
      </c>
      <c r="CA3" s="62" t="s">
        <v>135</v>
      </c>
      <c r="CB3" s="62" t="s">
        <v>135</v>
      </c>
      <c r="CC3" s="62" t="s">
        <v>135</v>
      </c>
      <c r="CD3" s="62" t="s">
        <v>135</v>
      </c>
      <c r="CE3" s="63" t="s">
        <v>136</v>
      </c>
      <c r="CF3" s="63" t="s">
        <v>136</v>
      </c>
      <c r="CG3" s="63" t="s">
        <v>136</v>
      </c>
      <c r="CH3" s="63" t="s">
        <v>136</v>
      </c>
      <c r="CI3" s="63" t="s">
        <v>136</v>
      </c>
      <c r="CJ3" s="63" t="s">
        <v>136</v>
      </c>
      <c r="CK3" s="63" t="s">
        <v>136</v>
      </c>
      <c r="CL3" s="63" t="s">
        <v>136</v>
      </c>
      <c r="CM3" s="63" t="s">
        <v>136</v>
      </c>
      <c r="CN3" s="63" t="s">
        <v>136</v>
      </c>
      <c r="CO3" s="63" t="s">
        <v>136</v>
      </c>
      <c r="CP3" s="63" t="s">
        <v>136</v>
      </c>
      <c r="CQ3" s="63" t="s">
        <v>136</v>
      </c>
      <c r="CR3" s="63" t="s">
        <v>136</v>
      </c>
      <c r="CS3" s="63" t="s">
        <v>136</v>
      </c>
      <c r="CT3" s="63" t="s">
        <v>136</v>
      </c>
    </row>
    <row r="4" spans="1:98" ht="15" customHeight="1" x14ac:dyDescent="0.2">
      <c r="A4" s="14" t="s">
        <v>810</v>
      </c>
      <c r="B4" s="9" t="s">
        <v>817</v>
      </c>
      <c r="C4" s="9" t="s">
        <v>817</v>
      </c>
      <c r="D4" s="9" t="s">
        <v>825</v>
      </c>
      <c r="E4" s="120">
        <v>2001</v>
      </c>
      <c r="F4" s="120"/>
      <c r="G4" s="120"/>
      <c r="H4" s="6"/>
      <c r="I4" s="9">
        <v>1000</v>
      </c>
      <c r="J4" s="9" t="s">
        <v>826</v>
      </c>
      <c r="K4" s="6"/>
      <c r="L4" s="6"/>
      <c r="M4" s="6"/>
      <c r="N4" s="6"/>
      <c r="O4" s="6"/>
      <c r="P4" s="6">
        <v>1.28</v>
      </c>
      <c r="Q4" s="6"/>
      <c r="R4" s="6" t="s">
        <v>827</v>
      </c>
      <c r="S4" s="6"/>
      <c r="T4" s="6"/>
      <c r="U4" s="6"/>
      <c r="V4" s="6"/>
      <c r="W4" s="6"/>
      <c r="X4" s="6"/>
      <c r="Y4" s="6"/>
      <c r="Z4" s="6"/>
      <c r="AA4" s="6"/>
      <c r="AB4" s="6"/>
      <c r="AC4" s="12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12">
        <v>0.84</v>
      </c>
      <c r="AP4" s="12"/>
      <c r="AQ4" s="12"/>
      <c r="AR4" s="6">
        <v>0.09</v>
      </c>
      <c r="AS4" s="6"/>
      <c r="AT4" s="6"/>
      <c r="AU4" s="6">
        <v>4.4000000000000004</v>
      </c>
      <c r="AV4" s="6">
        <v>-25.5</v>
      </c>
      <c r="AW4" s="6" t="s">
        <v>828</v>
      </c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</row>
    <row r="5" spans="1:98" ht="15" customHeight="1" x14ac:dyDescent="0.2">
      <c r="A5" s="14" t="s">
        <v>810</v>
      </c>
      <c r="B5" s="9" t="s">
        <v>821</v>
      </c>
      <c r="C5" s="9" t="s">
        <v>821</v>
      </c>
      <c r="D5" s="9" t="s">
        <v>829</v>
      </c>
      <c r="E5" s="120">
        <v>2001</v>
      </c>
      <c r="F5" s="120"/>
      <c r="G5" s="120"/>
      <c r="H5" s="6"/>
      <c r="I5" s="9">
        <v>1000</v>
      </c>
      <c r="J5" s="9" t="s">
        <v>826</v>
      </c>
      <c r="K5" s="6"/>
      <c r="L5" s="6"/>
      <c r="M5" s="6"/>
      <c r="N5" s="6"/>
      <c r="O5" s="6"/>
      <c r="P5" s="6">
        <v>0.74</v>
      </c>
      <c r="Q5" s="6"/>
      <c r="R5" s="6" t="s">
        <v>827</v>
      </c>
      <c r="S5" s="6"/>
      <c r="T5" s="6"/>
      <c r="U5" s="6"/>
      <c r="V5" s="6"/>
      <c r="W5" s="6"/>
      <c r="X5" s="6"/>
      <c r="Y5" s="6"/>
      <c r="Z5" s="6"/>
      <c r="AA5" s="6"/>
      <c r="AB5" s="6"/>
      <c r="AC5" s="12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12">
        <v>2.58</v>
      </c>
      <c r="AP5" s="12"/>
      <c r="AQ5" s="12"/>
      <c r="AR5" s="6">
        <v>0.26</v>
      </c>
      <c r="AS5" s="6"/>
      <c r="AT5" s="6"/>
      <c r="AU5" s="6">
        <v>3.8</v>
      </c>
      <c r="AV5" s="6">
        <v>-26</v>
      </c>
      <c r="AW5" s="6" t="s">
        <v>828</v>
      </c>
      <c r="AX5" s="6"/>
      <c r="AY5" s="6"/>
      <c r="AZ5" s="6">
        <v>-993</v>
      </c>
      <c r="BA5" s="6"/>
      <c r="BB5" s="6">
        <v>1</v>
      </c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</row>
    <row r="6" spans="1:98" ht="15" customHeight="1" x14ac:dyDescent="0.2">
      <c r="A6" s="14" t="s">
        <v>810</v>
      </c>
      <c r="B6" s="9" t="s">
        <v>822</v>
      </c>
      <c r="C6" s="9" t="s">
        <v>822</v>
      </c>
      <c r="D6" s="9" t="s">
        <v>830</v>
      </c>
      <c r="E6" s="120">
        <v>2001</v>
      </c>
      <c r="F6" s="120"/>
      <c r="G6" s="120"/>
      <c r="H6" s="6"/>
      <c r="I6" s="9">
        <v>1000</v>
      </c>
      <c r="J6" s="9" t="s">
        <v>826</v>
      </c>
      <c r="K6" s="6"/>
      <c r="L6" s="6"/>
      <c r="M6" s="6"/>
      <c r="N6" s="6"/>
      <c r="O6" s="6"/>
      <c r="P6" s="6">
        <v>1.1200000000000001</v>
      </c>
      <c r="Q6" s="6"/>
      <c r="R6" s="6" t="s">
        <v>827</v>
      </c>
      <c r="S6" s="6"/>
      <c r="T6" s="6"/>
      <c r="U6" s="6"/>
      <c r="V6" s="6"/>
      <c r="W6" s="6"/>
      <c r="X6" s="6"/>
      <c r="Y6" s="6"/>
      <c r="Z6" s="6"/>
      <c r="AA6" s="6"/>
      <c r="AB6" s="6"/>
      <c r="AC6" s="12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12">
        <v>1.18</v>
      </c>
      <c r="AP6" s="12"/>
      <c r="AQ6" s="12"/>
      <c r="AR6" s="6">
        <v>0.12</v>
      </c>
      <c r="AS6" s="6"/>
      <c r="AT6" s="6"/>
      <c r="AU6" s="6">
        <v>2.6</v>
      </c>
      <c r="AV6" s="6">
        <v>-23</v>
      </c>
      <c r="AW6" s="6" t="s">
        <v>828</v>
      </c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</row>
    <row r="7" spans="1:98" ht="15" customHeight="1" x14ac:dyDescent="0.2">
      <c r="A7" s="14" t="s">
        <v>810</v>
      </c>
      <c r="B7" s="9" t="s">
        <v>824</v>
      </c>
      <c r="C7" s="9" t="s">
        <v>824</v>
      </c>
      <c r="D7" s="9" t="s">
        <v>831</v>
      </c>
      <c r="E7" s="120">
        <v>2001</v>
      </c>
      <c r="F7" s="120"/>
      <c r="G7" s="120"/>
      <c r="H7" s="6"/>
      <c r="I7" s="9">
        <v>0</v>
      </c>
      <c r="J7" s="9">
        <v>10</v>
      </c>
      <c r="K7" s="6"/>
      <c r="L7" s="6"/>
      <c r="M7" s="6"/>
      <c r="N7" s="6"/>
      <c r="O7" s="6"/>
      <c r="P7" s="6">
        <v>1.1100000000000001</v>
      </c>
      <c r="Q7" s="6"/>
      <c r="R7" s="6" t="s">
        <v>827</v>
      </c>
      <c r="S7" s="6"/>
      <c r="T7" s="6"/>
      <c r="U7" s="6"/>
      <c r="V7" s="6"/>
      <c r="W7" s="6"/>
      <c r="X7" s="6"/>
      <c r="Y7" s="6"/>
      <c r="Z7" s="6"/>
      <c r="AA7" s="6"/>
      <c r="AB7" s="6"/>
      <c r="AC7" s="12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12">
        <v>0.85</v>
      </c>
      <c r="AP7" s="12"/>
      <c r="AQ7" s="12"/>
      <c r="AR7" s="6">
        <v>7.0000000000000007E-2</v>
      </c>
      <c r="AS7" s="6"/>
      <c r="AT7" s="6"/>
      <c r="AU7" s="6">
        <v>4.9000000000000004</v>
      </c>
      <c r="AV7" s="6">
        <v>-25.3</v>
      </c>
      <c r="AW7" s="6" t="s">
        <v>828</v>
      </c>
      <c r="AX7" s="6"/>
      <c r="AY7" s="6"/>
      <c r="AZ7" s="6">
        <v>-421</v>
      </c>
      <c r="BA7" s="6"/>
      <c r="BB7" s="6">
        <v>66</v>
      </c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</row>
    <row r="8" spans="1:98" ht="15" customHeight="1" x14ac:dyDescent="0.2">
      <c r="A8" s="3" t="s">
        <v>810</v>
      </c>
      <c r="B8" s="9" t="s">
        <v>824</v>
      </c>
      <c r="C8" s="9" t="s">
        <v>824</v>
      </c>
      <c r="D8" s="9" t="s">
        <v>832</v>
      </c>
      <c r="E8" s="120">
        <v>2001</v>
      </c>
      <c r="F8" s="120"/>
      <c r="G8" s="120"/>
      <c r="H8" s="6"/>
      <c r="I8" s="9">
        <v>10</v>
      </c>
      <c r="J8" s="9">
        <v>200</v>
      </c>
      <c r="K8" s="6"/>
      <c r="L8" s="6"/>
      <c r="M8" s="6"/>
      <c r="N8" s="6"/>
      <c r="O8" s="6"/>
      <c r="P8" s="6">
        <v>1</v>
      </c>
      <c r="Q8" s="6"/>
      <c r="R8" s="6" t="s">
        <v>827</v>
      </c>
      <c r="S8" s="6"/>
      <c r="T8" s="6"/>
      <c r="U8" s="6"/>
      <c r="V8" s="6"/>
      <c r="W8" s="6"/>
      <c r="X8" s="6"/>
      <c r="Y8" s="6"/>
      <c r="Z8" s="6"/>
      <c r="AA8" s="6"/>
      <c r="AB8" s="6"/>
      <c r="AC8" s="12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12">
        <v>1.55</v>
      </c>
      <c r="AP8" s="12"/>
      <c r="AQ8" s="12"/>
      <c r="AR8" s="6">
        <v>0.15</v>
      </c>
      <c r="AS8" s="6"/>
      <c r="AT8" s="6"/>
      <c r="AU8" s="6">
        <v>4.2</v>
      </c>
      <c r="AV8" s="6">
        <v>-22</v>
      </c>
      <c r="AW8" s="6" t="s">
        <v>828</v>
      </c>
      <c r="AX8" s="6"/>
      <c r="AY8" s="6"/>
      <c r="AZ8" s="6">
        <v>-964</v>
      </c>
      <c r="BA8" s="6"/>
      <c r="BB8" s="6">
        <v>1</v>
      </c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</row>
    <row r="9" spans="1:98" ht="15" customHeight="1" x14ac:dyDescent="0.2">
      <c r="A9" s="3" t="s">
        <v>810</v>
      </c>
      <c r="B9" s="9" t="s">
        <v>824</v>
      </c>
      <c r="C9" s="9" t="s">
        <v>824</v>
      </c>
      <c r="D9" s="9" t="s">
        <v>833</v>
      </c>
      <c r="E9" s="120">
        <v>2001</v>
      </c>
      <c r="F9" s="120"/>
      <c r="G9" s="120"/>
      <c r="H9" s="6"/>
      <c r="I9" s="9">
        <v>200</v>
      </c>
      <c r="J9" s="9">
        <v>1300</v>
      </c>
      <c r="K9" s="6"/>
      <c r="L9" s="6"/>
      <c r="M9" s="6"/>
      <c r="N9" s="6"/>
      <c r="O9" s="6"/>
      <c r="P9" s="6">
        <v>0.62</v>
      </c>
      <c r="Q9" s="6"/>
      <c r="R9" s="6" t="s">
        <v>827</v>
      </c>
      <c r="S9" s="6"/>
      <c r="T9" s="6"/>
      <c r="U9" s="6"/>
      <c r="V9" s="6"/>
      <c r="W9" s="6"/>
      <c r="X9" s="6"/>
      <c r="Y9" s="6"/>
      <c r="Z9" s="6"/>
      <c r="AA9" s="6"/>
      <c r="AB9" s="6"/>
      <c r="AC9" s="12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12">
        <v>1.18</v>
      </c>
      <c r="AP9" s="12"/>
      <c r="AQ9" s="12"/>
      <c r="AR9" s="6">
        <v>0.18</v>
      </c>
      <c r="AS9" s="6"/>
      <c r="AT9" s="6"/>
      <c r="AU9" s="6">
        <v>2.8</v>
      </c>
      <c r="AV9" s="6">
        <v>-24.4</v>
      </c>
      <c r="AW9" s="6" t="s">
        <v>828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</row>
    <row r="10" spans="1:98" ht="15" customHeight="1" x14ac:dyDescent="0.2">
      <c r="B10" s="8"/>
      <c r="C10" s="9"/>
      <c r="D10" s="9"/>
      <c r="E10" s="120"/>
      <c r="F10" s="120"/>
      <c r="G10" s="120"/>
      <c r="H10" s="6"/>
      <c r="I10" s="9"/>
      <c r="J10" s="9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2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12"/>
      <c r="AP10" s="12"/>
      <c r="AQ10" s="12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</row>
    <row r="11" spans="1:98" ht="15" customHeight="1" x14ac:dyDescent="0.2">
      <c r="B11" s="8"/>
      <c r="C11" s="9"/>
      <c r="D11" s="9"/>
      <c r="E11" s="120"/>
      <c r="F11" s="120"/>
      <c r="G11" s="120"/>
      <c r="H11" s="6"/>
      <c r="I11" s="9"/>
      <c r="J11" s="9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12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12"/>
      <c r="AP11" s="12"/>
      <c r="AQ11" s="12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</row>
    <row r="12" spans="1:98" ht="15" customHeight="1" x14ac:dyDescent="0.2">
      <c r="B12" s="8"/>
      <c r="C12" s="9"/>
      <c r="D12" s="9"/>
      <c r="E12" s="120"/>
      <c r="F12" s="120"/>
      <c r="G12" s="120"/>
      <c r="H12" s="6"/>
      <c r="I12" s="9"/>
      <c r="J12" s="9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12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12"/>
      <c r="AP12" s="12"/>
      <c r="AQ12" s="12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</row>
    <row r="13" spans="1:98" ht="15" customHeight="1" x14ac:dyDescent="0.2">
      <c r="B13" s="8"/>
      <c r="C13" s="9"/>
      <c r="D13" s="9"/>
      <c r="E13" s="120"/>
      <c r="F13" s="120"/>
      <c r="G13" s="120"/>
      <c r="H13" s="6"/>
      <c r="I13" s="9"/>
      <c r="J13" s="9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12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12"/>
      <c r="AP13" s="12"/>
      <c r="AQ13" s="12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</row>
    <row r="14" spans="1:98" ht="15" customHeight="1" x14ac:dyDescent="0.2">
      <c r="B14" s="8"/>
      <c r="C14" s="9"/>
      <c r="D14" s="9"/>
      <c r="E14" s="120"/>
      <c r="F14" s="120"/>
      <c r="G14" s="120"/>
      <c r="H14" s="6"/>
      <c r="I14" s="9"/>
      <c r="J14" s="9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12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12"/>
      <c r="AP14" s="12"/>
      <c r="AQ14" s="12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</row>
    <row r="15" spans="1:98" ht="15" customHeight="1" x14ac:dyDescent="0.2">
      <c r="B15" s="8"/>
      <c r="C15" s="9"/>
      <c r="D15" s="9"/>
      <c r="E15" s="120"/>
      <c r="F15" s="120"/>
      <c r="G15" s="120"/>
      <c r="H15" s="6"/>
      <c r="I15" s="9"/>
      <c r="J15" s="9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12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12"/>
      <c r="AP15" s="12"/>
      <c r="AQ15" s="12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</row>
    <row r="16" spans="1:98" ht="15" customHeight="1" x14ac:dyDescent="0.2">
      <c r="B16" s="8"/>
      <c r="C16" s="9"/>
      <c r="D16" s="9"/>
      <c r="E16" s="120"/>
      <c r="F16" s="120"/>
      <c r="G16" s="120"/>
      <c r="H16" s="6"/>
      <c r="I16" s="9"/>
      <c r="J16" s="9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12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12"/>
      <c r="AP16" s="12"/>
      <c r="AQ16" s="12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</row>
    <row r="17" spans="2:96" ht="15" customHeight="1" x14ac:dyDescent="0.2">
      <c r="B17" s="8"/>
      <c r="C17" s="9"/>
      <c r="D17" s="9"/>
      <c r="E17" s="120"/>
      <c r="F17" s="120"/>
      <c r="G17" s="120"/>
      <c r="H17" s="6"/>
      <c r="I17" s="9"/>
      <c r="J17" s="9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12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12"/>
      <c r="AP17" s="12"/>
      <c r="AQ17" s="12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</row>
    <row r="18" spans="2:96" x14ac:dyDescent="0.2">
      <c r="B18" s="8"/>
      <c r="C18" s="9"/>
      <c r="D18" s="9"/>
      <c r="E18" s="120"/>
      <c r="F18" s="120"/>
      <c r="G18" s="120"/>
      <c r="H18" s="6"/>
      <c r="I18" s="9"/>
      <c r="J18" s="9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12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12"/>
      <c r="AP18" s="12"/>
      <c r="AQ18" s="12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</row>
    <row r="19" spans="2:96" x14ac:dyDescent="0.2">
      <c r="B19" s="8"/>
      <c r="C19" s="9"/>
      <c r="D19" s="9"/>
      <c r="E19" s="120"/>
      <c r="F19" s="120"/>
      <c r="G19" s="120"/>
      <c r="H19" s="6"/>
      <c r="I19" s="9"/>
      <c r="J19" s="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12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12"/>
      <c r="AP19" s="12"/>
      <c r="AQ19" s="12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</row>
    <row r="20" spans="2:96" x14ac:dyDescent="0.2">
      <c r="B20" s="8"/>
      <c r="C20" s="9"/>
      <c r="D20" s="9"/>
      <c r="E20" s="120"/>
      <c r="F20" s="120"/>
      <c r="G20" s="120"/>
      <c r="H20" s="6"/>
      <c r="I20" s="9"/>
      <c r="J20" s="9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12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12"/>
      <c r="AP20" s="12"/>
      <c r="AQ20" s="12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</row>
    <row r="21" spans="2:96" x14ac:dyDescent="0.2">
      <c r="B21" s="8"/>
      <c r="C21" s="9"/>
      <c r="D21" s="9"/>
      <c r="E21" s="120"/>
      <c r="F21" s="120"/>
      <c r="G21" s="120"/>
      <c r="H21" s="6"/>
      <c r="I21" s="9"/>
      <c r="J21" s="9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12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12"/>
      <c r="AP21" s="12"/>
      <c r="AQ21" s="12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</row>
    <row r="22" spans="2:96" x14ac:dyDescent="0.2">
      <c r="H22" s="6"/>
      <c r="X22" s="6"/>
    </row>
    <row r="23" spans="2:96" x14ac:dyDescent="0.2">
      <c r="H23" s="6"/>
      <c r="X23" s="6"/>
    </row>
    <row r="24" spans="2:96" x14ac:dyDescent="0.2">
      <c r="H24" s="6"/>
      <c r="X24" s="6"/>
    </row>
    <row r="25" spans="2:96" x14ac:dyDescent="0.2">
      <c r="H25" s="6"/>
      <c r="X25" s="6"/>
    </row>
    <row r="26" spans="2:96" x14ac:dyDescent="0.2">
      <c r="H26" s="6"/>
      <c r="X26" s="6"/>
    </row>
    <row r="27" spans="2:96" x14ac:dyDescent="0.2">
      <c r="H27" s="6"/>
      <c r="X27" s="6"/>
    </row>
    <row r="28" spans="2:96" x14ac:dyDescent="0.2">
      <c r="H28" s="6"/>
      <c r="X28" s="6"/>
    </row>
    <row r="29" spans="2:96" x14ac:dyDescent="0.2">
      <c r="H29" s="6"/>
      <c r="X29" s="6"/>
    </row>
    <row r="30" spans="2:96" x14ac:dyDescent="0.2">
      <c r="H30" s="6"/>
      <c r="X30" s="6"/>
    </row>
    <row r="31" spans="2:96" x14ac:dyDescent="0.2">
      <c r="H31" s="6"/>
      <c r="X31" s="6"/>
    </row>
    <row r="32" spans="2:96" x14ac:dyDescent="0.2">
      <c r="H32" s="6"/>
      <c r="X32" s="6"/>
    </row>
    <row r="33" spans="8:24" x14ac:dyDescent="0.2">
      <c r="H33" s="6"/>
      <c r="X33" s="6"/>
    </row>
    <row r="34" spans="8:24" x14ac:dyDescent="0.2">
      <c r="H34" s="6"/>
      <c r="X34" s="6"/>
    </row>
    <row r="35" spans="8:24" x14ac:dyDescent="0.2">
      <c r="H35" s="6"/>
      <c r="X35" s="6"/>
    </row>
    <row r="36" spans="8:24" x14ac:dyDescent="0.2">
      <c r="H36" s="6"/>
      <c r="X36" s="6"/>
    </row>
    <row r="37" spans="8:24" x14ac:dyDescent="0.2">
      <c r="H37" s="6"/>
      <c r="X37" s="6"/>
    </row>
    <row r="38" spans="8:24" x14ac:dyDescent="0.2">
      <c r="H38" s="6"/>
      <c r="X38" s="6"/>
    </row>
    <row r="39" spans="8:24" x14ac:dyDescent="0.2">
      <c r="H39" s="6"/>
      <c r="X39" s="6"/>
    </row>
    <row r="40" spans="8:24" x14ac:dyDescent="0.2">
      <c r="H40" s="6"/>
      <c r="X40" s="6"/>
    </row>
    <row r="41" spans="8:24" x14ac:dyDescent="0.2">
      <c r="H41" s="6"/>
      <c r="X41" s="6"/>
    </row>
    <row r="42" spans="8:24" x14ac:dyDescent="0.2">
      <c r="H42" s="6"/>
      <c r="X42" s="6"/>
    </row>
    <row r="43" spans="8:24" x14ac:dyDescent="0.2">
      <c r="H43" s="6"/>
      <c r="X43" s="6"/>
    </row>
    <row r="44" spans="8:24" x14ac:dyDescent="0.2">
      <c r="H44" s="6"/>
      <c r="X44" s="6"/>
    </row>
    <row r="45" spans="8:24" x14ac:dyDescent="0.2">
      <c r="H45" s="6"/>
      <c r="X45" s="6"/>
    </row>
    <row r="46" spans="8:24" x14ac:dyDescent="0.2">
      <c r="H46" s="6"/>
      <c r="X46" s="6"/>
    </row>
    <row r="47" spans="8:24" x14ac:dyDescent="0.2">
      <c r="H47" s="6"/>
      <c r="X47" s="6"/>
    </row>
    <row r="48" spans="8:24" x14ac:dyDescent="0.2">
      <c r="H48" s="6"/>
      <c r="X48" s="6"/>
    </row>
    <row r="49" spans="8:24" x14ac:dyDescent="0.2">
      <c r="H49" s="6"/>
      <c r="X49" s="6"/>
    </row>
    <row r="50" spans="8:24" x14ac:dyDescent="0.2">
      <c r="H50" s="6"/>
      <c r="X50" s="6"/>
    </row>
    <row r="51" spans="8:24" x14ac:dyDescent="0.2">
      <c r="H51" s="6"/>
      <c r="X51" s="6"/>
    </row>
    <row r="52" spans="8:24" x14ac:dyDescent="0.2">
      <c r="H52" s="6"/>
      <c r="X52" s="6"/>
    </row>
    <row r="53" spans="8:24" x14ac:dyDescent="0.2">
      <c r="H53" s="6"/>
      <c r="X53" s="6"/>
    </row>
    <row r="54" spans="8:24" x14ac:dyDescent="0.2">
      <c r="H54" s="6"/>
      <c r="X54" s="6"/>
    </row>
    <row r="55" spans="8:24" x14ac:dyDescent="0.2">
      <c r="H55" s="6"/>
      <c r="X55" s="6"/>
    </row>
    <row r="56" spans="8:24" x14ac:dyDescent="0.2">
      <c r="H56" s="6"/>
      <c r="X56" s="6"/>
    </row>
    <row r="57" spans="8:24" x14ac:dyDescent="0.2">
      <c r="H57" s="6"/>
      <c r="X57" s="6"/>
    </row>
    <row r="58" spans="8:24" x14ac:dyDescent="0.2">
      <c r="H58" s="6"/>
      <c r="X58" s="6"/>
    </row>
    <row r="59" spans="8:24" x14ac:dyDescent="0.2">
      <c r="H59" s="6"/>
      <c r="X59" s="6"/>
    </row>
    <row r="60" spans="8:24" x14ac:dyDescent="0.2">
      <c r="H60" s="6"/>
      <c r="X60" s="6"/>
    </row>
    <row r="61" spans="8:24" x14ac:dyDescent="0.2">
      <c r="H61" s="6"/>
      <c r="X61" s="6"/>
    </row>
    <row r="62" spans="8:24" x14ac:dyDescent="0.2">
      <c r="H62" s="6"/>
      <c r="X62" s="6"/>
    </row>
    <row r="63" spans="8:24" x14ac:dyDescent="0.2">
      <c r="H63" s="6"/>
      <c r="X63" s="6"/>
    </row>
    <row r="64" spans="8:24" x14ac:dyDescent="0.2">
      <c r="H64" s="6"/>
      <c r="X64" s="6"/>
    </row>
    <row r="65" spans="8:24" x14ac:dyDescent="0.2">
      <c r="H65" s="6"/>
      <c r="X65" s="6"/>
    </row>
    <row r="66" spans="8:24" x14ac:dyDescent="0.2">
      <c r="H66" s="6"/>
      <c r="X66" s="6"/>
    </row>
    <row r="67" spans="8:24" x14ac:dyDescent="0.2">
      <c r="H67" s="6"/>
      <c r="X67" s="6"/>
    </row>
    <row r="68" spans="8:24" x14ac:dyDescent="0.2">
      <c r="H68" s="6"/>
      <c r="X68" s="6"/>
    </row>
    <row r="69" spans="8:24" x14ac:dyDescent="0.2">
      <c r="H69" s="6"/>
      <c r="X69" s="6"/>
    </row>
    <row r="70" spans="8:24" x14ac:dyDescent="0.2">
      <c r="H70" s="6"/>
      <c r="X70" s="6"/>
    </row>
    <row r="71" spans="8:24" x14ac:dyDescent="0.2">
      <c r="H71" s="6"/>
      <c r="X71" s="6"/>
    </row>
    <row r="72" spans="8:24" x14ac:dyDescent="0.2">
      <c r="H72" s="6"/>
      <c r="X72" s="6"/>
    </row>
    <row r="73" spans="8:24" x14ac:dyDescent="0.2">
      <c r="H73" s="6"/>
      <c r="X73" s="6"/>
    </row>
    <row r="74" spans="8:24" x14ac:dyDescent="0.2">
      <c r="H74" s="6"/>
      <c r="X74" s="6"/>
    </row>
    <row r="75" spans="8:24" x14ac:dyDescent="0.2">
      <c r="H75" s="6"/>
      <c r="X75" s="6"/>
    </row>
    <row r="76" spans="8:24" x14ac:dyDescent="0.2">
      <c r="H76" s="6"/>
      <c r="X76" s="6"/>
    </row>
    <row r="77" spans="8:24" x14ac:dyDescent="0.2">
      <c r="H77" s="6"/>
      <c r="X77" s="6"/>
    </row>
    <row r="78" spans="8:24" x14ac:dyDescent="0.2">
      <c r="H78" s="6"/>
      <c r="X78" s="6"/>
    </row>
    <row r="79" spans="8:24" x14ac:dyDescent="0.2">
      <c r="H79" s="6"/>
      <c r="X79" s="6"/>
    </row>
    <row r="80" spans="8:24" x14ac:dyDescent="0.2">
      <c r="H80" s="6"/>
      <c r="X80" s="6"/>
    </row>
    <row r="81" spans="8:24" x14ac:dyDescent="0.2">
      <c r="H81" s="6"/>
      <c r="X81" s="6"/>
    </row>
    <row r="82" spans="8:24" x14ac:dyDescent="0.2">
      <c r="H82" s="6"/>
      <c r="X82" s="6"/>
    </row>
    <row r="83" spans="8:24" x14ac:dyDescent="0.2">
      <c r="H83" s="6"/>
      <c r="X83" s="6"/>
    </row>
    <row r="84" spans="8:24" x14ac:dyDescent="0.2">
      <c r="H84" s="6"/>
      <c r="X84" s="6"/>
    </row>
    <row r="85" spans="8:24" x14ac:dyDescent="0.2">
      <c r="H85" s="6"/>
      <c r="X85" s="6"/>
    </row>
    <row r="86" spans="8:24" x14ac:dyDescent="0.2">
      <c r="H86" s="6"/>
      <c r="X86" s="6"/>
    </row>
    <row r="87" spans="8:24" x14ac:dyDescent="0.2">
      <c r="H87" s="6"/>
      <c r="X87" s="6"/>
    </row>
    <row r="88" spans="8:24" x14ac:dyDescent="0.2">
      <c r="H88" s="6"/>
      <c r="X88" s="6"/>
    </row>
    <row r="89" spans="8:24" x14ac:dyDescent="0.2">
      <c r="H89" s="6"/>
      <c r="X89" s="6"/>
    </row>
    <row r="90" spans="8:24" x14ac:dyDescent="0.2">
      <c r="H90" s="6"/>
      <c r="X90" s="6"/>
    </row>
    <row r="91" spans="8:24" x14ac:dyDescent="0.2">
      <c r="H91" s="6"/>
      <c r="X91" s="6"/>
    </row>
    <row r="92" spans="8:24" x14ac:dyDescent="0.2">
      <c r="H92" s="6"/>
      <c r="X92" s="6"/>
    </row>
    <row r="93" spans="8:24" x14ac:dyDescent="0.2">
      <c r="H93" s="6"/>
      <c r="X93" s="6"/>
    </row>
    <row r="94" spans="8:24" x14ac:dyDescent="0.2">
      <c r="H94" s="6"/>
      <c r="X94" s="6"/>
    </row>
    <row r="95" spans="8:24" x14ac:dyDescent="0.2">
      <c r="H95" s="6"/>
      <c r="X95" s="6"/>
    </row>
    <row r="96" spans="8:24" x14ac:dyDescent="0.2">
      <c r="H96" s="6"/>
      <c r="X96" s="6"/>
    </row>
    <row r="97" spans="8:24" x14ac:dyDescent="0.2">
      <c r="H97" s="6"/>
      <c r="X97" s="6"/>
    </row>
    <row r="98" spans="8:24" x14ac:dyDescent="0.2">
      <c r="H98" s="6"/>
      <c r="X98" s="6"/>
    </row>
    <row r="99" spans="8:24" x14ac:dyDescent="0.2">
      <c r="H99" s="6"/>
      <c r="X99" s="6"/>
    </row>
    <row r="100" spans="8:24" x14ac:dyDescent="0.2">
      <c r="H100" s="6"/>
      <c r="X100" s="6"/>
    </row>
    <row r="101" spans="8:24" x14ac:dyDescent="0.2">
      <c r="H101" s="6"/>
      <c r="X101" s="6"/>
    </row>
    <row r="102" spans="8:24" x14ac:dyDescent="0.2">
      <c r="H102" s="6"/>
      <c r="X102" s="6"/>
    </row>
    <row r="103" spans="8:24" x14ac:dyDescent="0.2">
      <c r="H103" s="6"/>
      <c r="X103" s="6"/>
    </row>
    <row r="104" spans="8:24" x14ac:dyDescent="0.2">
      <c r="H104" s="6"/>
      <c r="X104" s="6"/>
    </row>
    <row r="105" spans="8:24" x14ac:dyDescent="0.2">
      <c r="H105" s="6"/>
      <c r="X105" s="6"/>
    </row>
    <row r="106" spans="8:24" x14ac:dyDescent="0.2">
      <c r="H106" s="6"/>
      <c r="X106" s="6"/>
    </row>
    <row r="107" spans="8:24" x14ac:dyDescent="0.2">
      <c r="H107" s="6"/>
      <c r="X107" s="6"/>
    </row>
    <row r="108" spans="8:24" x14ac:dyDescent="0.2">
      <c r="H108" s="6"/>
      <c r="X108" s="6"/>
    </row>
    <row r="109" spans="8:24" x14ac:dyDescent="0.2">
      <c r="H109" s="6"/>
      <c r="X109" s="6"/>
    </row>
    <row r="110" spans="8:24" x14ac:dyDescent="0.2">
      <c r="H110" s="6"/>
      <c r="X110" s="6"/>
    </row>
    <row r="111" spans="8:24" x14ac:dyDescent="0.2">
      <c r="H111" s="6"/>
    </row>
    <row r="112" spans="8:24" x14ac:dyDescent="0.2">
      <c r="H112" s="6"/>
    </row>
    <row r="113" spans="8:8" x14ac:dyDescent="0.2">
      <c r="H113" s="6"/>
    </row>
    <row r="114" spans="8:8" x14ac:dyDescent="0.2">
      <c r="H114" s="6"/>
    </row>
    <row r="115" spans="8:8" x14ac:dyDescent="0.2">
      <c r="H115" s="6"/>
    </row>
    <row r="116" spans="8:8" x14ac:dyDescent="0.2">
      <c r="H116" s="6"/>
    </row>
    <row r="117" spans="8:8" x14ac:dyDescent="0.2">
      <c r="H117" s="6"/>
    </row>
    <row r="118" spans="8:8" x14ac:dyDescent="0.2">
      <c r="H118" s="6"/>
    </row>
    <row r="119" spans="8:8" x14ac:dyDescent="0.2">
      <c r="H119" s="6"/>
    </row>
    <row r="120" spans="8:8" x14ac:dyDescent="0.2">
      <c r="H120" s="6"/>
    </row>
    <row r="121" spans="8:8" x14ac:dyDescent="0.2">
      <c r="H121" s="6"/>
    </row>
    <row r="122" spans="8:8" x14ac:dyDescent="0.2">
      <c r="H122" s="6"/>
    </row>
    <row r="123" spans="8:8" x14ac:dyDescent="0.2">
      <c r="H123" s="6"/>
    </row>
    <row r="124" spans="8:8" x14ac:dyDescent="0.2">
      <c r="H124" s="6"/>
    </row>
    <row r="125" spans="8:8" x14ac:dyDescent="0.2">
      <c r="H125" s="6"/>
    </row>
    <row r="126" spans="8:8" x14ac:dyDescent="0.2">
      <c r="H126" s="6"/>
    </row>
    <row r="127" spans="8:8" x14ac:dyDescent="0.2">
      <c r="H127" s="6"/>
    </row>
    <row r="128" spans="8:8" x14ac:dyDescent="0.2">
      <c r="H128" s="6"/>
    </row>
    <row r="129" spans="8:8" x14ac:dyDescent="0.2">
      <c r="H129" s="6"/>
    </row>
    <row r="130" spans="8:8" x14ac:dyDescent="0.2">
      <c r="H130" s="6"/>
    </row>
    <row r="131" spans="8:8" x14ac:dyDescent="0.2">
      <c r="H131" s="6"/>
    </row>
    <row r="132" spans="8:8" x14ac:dyDescent="0.2">
      <c r="H132" s="6"/>
    </row>
    <row r="133" spans="8:8" x14ac:dyDescent="0.2">
      <c r="H133" s="6"/>
    </row>
    <row r="134" spans="8:8" x14ac:dyDescent="0.2">
      <c r="H134" s="6"/>
    </row>
    <row r="135" spans="8:8" x14ac:dyDescent="0.2">
      <c r="H135" s="6"/>
    </row>
    <row r="136" spans="8:8" x14ac:dyDescent="0.2">
      <c r="H136" s="6"/>
    </row>
    <row r="137" spans="8:8" x14ac:dyDescent="0.2">
      <c r="H137" s="6"/>
    </row>
    <row r="138" spans="8:8" x14ac:dyDescent="0.2">
      <c r="H138" s="6"/>
    </row>
    <row r="139" spans="8:8" x14ac:dyDescent="0.2">
      <c r="H139" s="6"/>
    </row>
    <row r="140" spans="8:8" x14ac:dyDescent="0.2">
      <c r="H140" s="6"/>
    </row>
    <row r="141" spans="8:8" x14ac:dyDescent="0.2">
      <c r="H141" s="6"/>
    </row>
    <row r="142" spans="8:8" x14ac:dyDescent="0.2">
      <c r="H142" s="6"/>
    </row>
    <row r="143" spans="8:8" x14ac:dyDescent="0.2">
      <c r="H143" s="6"/>
    </row>
    <row r="144" spans="8:8" x14ac:dyDescent="0.2">
      <c r="H144" s="6"/>
    </row>
    <row r="145" spans="8:8" x14ac:dyDescent="0.2">
      <c r="H145" s="6"/>
    </row>
    <row r="146" spans="8:8" x14ac:dyDescent="0.2">
      <c r="H146" s="6"/>
    </row>
    <row r="147" spans="8:8" x14ac:dyDescent="0.2">
      <c r="H147" s="6"/>
    </row>
    <row r="148" spans="8:8" x14ac:dyDescent="0.2">
      <c r="H148" s="6"/>
    </row>
    <row r="149" spans="8:8" x14ac:dyDescent="0.2">
      <c r="H149" s="6"/>
    </row>
    <row r="150" spans="8:8" x14ac:dyDescent="0.2">
      <c r="H150" s="6"/>
    </row>
    <row r="151" spans="8:8" x14ac:dyDescent="0.2">
      <c r="H151" s="6"/>
    </row>
    <row r="152" spans="8:8" x14ac:dyDescent="0.2">
      <c r="H152" s="6"/>
    </row>
    <row r="153" spans="8:8" x14ac:dyDescent="0.2">
      <c r="H153" s="6"/>
    </row>
    <row r="154" spans="8:8" x14ac:dyDescent="0.2">
      <c r="H154" s="6"/>
    </row>
    <row r="155" spans="8:8" x14ac:dyDescent="0.2">
      <c r="H155" s="6"/>
    </row>
    <row r="156" spans="8:8" x14ac:dyDescent="0.2">
      <c r="H156" s="6"/>
    </row>
    <row r="157" spans="8:8" x14ac:dyDescent="0.2">
      <c r="H157" s="6"/>
    </row>
    <row r="158" spans="8:8" x14ac:dyDescent="0.2">
      <c r="H158" s="6"/>
    </row>
    <row r="159" spans="8:8" x14ac:dyDescent="0.2">
      <c r="H159" s="6"/>
    </row>
    <row r="160" spans="8:8" x14ac:dyDescent="0.2">
      <c r="H160" s="6"/>
    </row>
    <row r="161" spans="8:8" x14ac:dyDescent="0.2">
      <c r="H161" s="6"/>
    </row>
    <row r="162" spans="8:8" x14ac:dyDescent="0.2">
      <c r="H162" s="6"/>
    </row>
    <row r="163" spans="8:8" x14ac:dyDescent="0.2">
      <c r="H163" s="6"/>
    </row>
    <row r="164" spans="8:8" x14ac:dyDescent="0.2">
      <c r="H164" s="6"/>
    </row>
    <row r="165" spans="8:8" x14ac:dyDescent="0.2">
      <c r="H165" s="6"/>
    </row>
    <row r="166" spans="8:8" x14ac:dyDescent="0.2">
      <c r="H166" s="6"/>
    </row>
    <row r="167" spans="8:8" x14ac:dyDescent="0.2">
      <c r="H167" s="6"/>
    </row>
    <row r="168" spans="8:8" x14ac:dyDescent="0.2">
      <c r="H168" s="6"/>
    </row>
    <row r="169" spans="8:8" x14ac:dyDescent="0.2">
      <c r="H169" s="6"/>
    </row>
    <row r="170" spans="8:8" x14ac:dyDescent="0.2">
      <c r="H170" s="6"/>
    </row>
    <row r="171" spans="8:8" x14ac:dyDescent="0.2">
      <c r="H171" s="6"/>
    </row>
    <row r="172" spans="8:8" x14ac:dyDescent="0.2">
      <c r="H172" s="6"/>
    </row>
    <row r="173" spans="8:8" x14ac:dyDescent="0.2">
      <c r="H173" s="6"/>
    </row>
    <row r="174" spans="8:8" x14ac:dyDescent="0.2">
      <c r="H174" s="6"/>
    </row>
    <row r="175" spans="8:8" x14ac:dyDescent="0.2">
      <c r="H175" s="6"/>
    </row>
    <row r="176" spans="8:8" x14ac:dyDescent="0.2">
      <c r="H176" s="6"/>
    </row>
    <row r="177" spans="8:8" x14ac:dyDescent="0.2">
      <c r="H177" s="6"/>
    </row>
    <row r="178" spans="8:8" x14ac:dyDescent="0.2">
      <c r="H178" s="6"/>
    </row>
    <row r="179" spans="8:8" x14ac:dyDescent="0.2">
      <c r="H179" s="6"/>
    </row>
    <row r="180" spans="8:8" x14ac:dyDescent="0.2">
      <c r="H180" s="6"/>
    </row>
    <row r="181" spans="8:8" x14ac:dyDescent="0.2">
      <c r="H181" s="6"/>
    </row>
    <row r="182" spans="8:8" x14ac:dyDescent="0.2">
      <c r="H182" s="6"/>
    </row>
    <row r="183" spans="8:8" x14ac:dyDescent="0.2">
      <c r="H183" s="6"/>
    </row>
    <row r="184" spans="8:8" x14ac:dyDescent="0.2">
      <c r="H184" s="6"/>
    </row>
    <row r="185" spans="8:8" x14ac:dyDescent="0.2">
      <c r="H185" s="6"/>
    </row>
    <row r="186" spans="8:8" x14ac:dyDescent="0.2">
      <c r="H186" s="6"/>
    </row>
    <row r="187" spans="8:8" x14ac:dyDescent="0.2">
      <c r="H187" s="6"/>
    </row>
    <row r="188" spans="8:8" x14ac:dyDescent="0.2">
      <c r="H188" s="6"/>
    </row>
    <row r="189" spans="8:8" x14ac:dyDescent="0.2">
      <c r="H189" s="6"/>
    </row>
    <row r="190" spans="8:8" x14ac:dyDescent="0.2">
      <c r="H190" s="6"/>
    </row>
    <row r="191" spans="8:8" x14ac:dyDescent="0.2">
      <c r="H191" s="6"/>
    </row>
    <row r="192" spans="8:8" x14ac:dyDescent="0.2">
      <c r="H192" s="6"/>
    </row>
    <row r="193" spans="8:8" x14ac:dyDescent="0.2">
      <c r="H193" s="6"/>
    </row>
    <row r="194" spans="8:8" x14ac:dyDescent="0.2">
      <c r="H194" s="6"/>
    </row>
    <row r="195" spans="8:8" x14ac:dyDescent="0.2">
      <c r="H195" s="6"/>
    </row>
    <row r="196" spans="8:8" x14ac:dyDescent="0.2">
      <c r="H196" s="6"/>
    </row>
    <row r="197" spans="8:8" x14ac:dyDescent="0.2">
      <c r="H197" s="6"/>
    </row>
    <row r="198" spans="8:8" x14ac:dyDescent="0.2">
      <c r="H198" s="6"/>
    </row>
    <row r="199" spans="8:8" x14ac:dyDescent="0.2">
      <c r="H199" s="6"/>
    </row>
    <row r="200" spans="8:8" x14ac:dyDescent="0.2">
      <c r="H200" s="6"/>
    </row>
    <row r="201" spans="8:8" x14ac:dyDescent="0.2">
      <c r="H201" s="6"/>
    </row>
    <row r="202" spans="8:8" x14ac:dyDescent="0.2">
      <c r="H202" s="6"/>
    </row>
    <row r="203" spans="8:8" x14ac:dyDescent="0.2">
      <c r="H203" s="6"/>
    </row>
    <row r="204" spans="8:8" x14ac:dyDescent="0.2">
      <c r="H204" s="6"/>
    </row>
    <row r="205" spans="8:8" x14ac:dyDescent="0.2">
      <c r="H205" s="6"/>
    </row>
    <row r="206" spans="8:8" x14ac:dyDescent="0.2">
      <c r="H206" s="6"/>
    </row>
    <row r="207" spans="8:8" x14ac:dyDescent="0.2">
      <c r="H207" s="6"/>
    </row>
    <row r="208" spans="8:8" x14ac:dyDescent="0.2">
      <c r="H208" s="6"/>
    </row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dataValidations count="1">
    <dataValidation type="list" allowBlank="1" showInputMessage="1" showErrorMessage="1" sqref="X111:X1048576" xr:uid="{00000000-0002-0000-0400-000000000000}">
      <formula1>$N$4:$N$15</formula1>
    </dataValidation>
  </dataValidations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1000000}">
          <x14:formula1>
            <xm:f>OFFSET(site!$B$1,3,0,COUNTA(site!$B:$B)-2,1)</xm:f>
          </x14:formula1>
          <xm:sqref>B10:B1048576</xm:sqref>
        </x14:dataValidation>
        <x14:dataValidation type="list" allowBlank="1" showInputMessage="1" showErrorMessage="1" xr:uid="{00000000-0002-0000-0400-000002000000}">
          <x14:formula1>
            <xm:f>'controlled vocabulary'!$AA$4:$AA$8</xm:f>
          </x14:formula1>
          <xm:sqref>BF4:BF1048576</xm:sqref>
        </x14:dataValidation>
        <x14:dataValidation type="list" allowBlank="1" showInputMessage="1" showErrorMessage="1" xr:uid="{00000000-0002-0000-0400-000003000000}">
          <x14:formula1>
            <xm:f>'controlled vocabulary'!$Z$4:$Z$8</xm:f>
          </x14:formula1>
          <xm:sqref>AC4:AC1048576</xm:sqref>
        </x14:dataValidation>
        <x14:dataValidation type="list" allowBlank="1" showInputMessage="1" showErrorMessage="1" xr:uid="{00000000-0002-0000-0400-000004000000}">
          <x14:formula1>
            <xm:f>'controlled vocabulary'!$Y$4:$Y$16</xm:f>
          </x14:formula1>
          <xm:sqref>X4:X110</xm:sqref>
        </x14:dataValidation>
        <x14:dataValidation type="list" allowBlank="1" showInputMessage="1" showErrorMessage="1" xr:uid="{00000000-0002-0000-0400-000005000000}">
          <x14:formula1>
            <xm:f>OFFSET(profile!$D$1,3,0,COUNTA(profile!$D:$D)-2,1)</xm:f>
          </x14:formula1>
          <xm:sqref>C1:C1048576 B4:B9</xm:sqref>
        </x14:dataValidation>
        <x14:dataValidation type="list" allowBlank="1" showInputMessage="1" showErrorMessage="1" xr:uid="{00000000-0002-0000-0400-000006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1"/>
  <sheetViews>
    <sheetView workbookViewId="0">
      <selection activeCell="V22" sqref="V22"/>
    </sheetView>
  </sheetViews>
  <sheetFormatPr baseColWidth="10" defaultColWidth="10.83203125" defaultRowHeight="15" x14ac:dyDescent="0.2"/>
  <cols>
    <col min="1" max="1" width="14.5" style="3" customWidth="1"/>
    <col min="2" max="2" width="12.5" style="3" bestFit="1" customWidth="1"/>
    <col min="3" max="3" width="14" style="3" customWidth="1"/>
    <col min="4" max="4" width="14" style="115" customWidth="1"/>
    <col min="5" max="5" width="14.5" style="115" customWidth="1"/>
    <col min="6" max="6" width="14.5" style="121" customWidth="1"/>
    <col min="7" max="7" width="15.1640625" style="10" customWidth="1"/>
    <col min="8" max="9" width="10.83203125" style="3"/>
    <col min="10" max="10" width="16.5" style="3" customWidth="1"/>
    <col min="11" max="11" width="19.5" style="3" customWidth="1"/>
    <col min="12" max="12" width="13" style="3" bestFit="1" customWidth="1"/>
    <col min="13" max="13" width="10.83203125" style="3"/>
    <col min="14" max="14" width="11.5" style="3" customWidth="1"/>
    <col min="15" max="15" width="10.5" style="3" bestFit="1" customWidth="1"/>
    <col min="16" max="16" width="10.5" style="3" customWidth="1"/>
    <col min="17" max="17" width="14.5" style="3" customWidth="1"/>
    <col min="18" max="16384" width="10.83203125" style="3"/>
  </cols>
  <sheetData>
    <row r="1" spans="1:28" s="21" customFormat="1" ht="48.5" customHeight="1" x14ac:dyDescent="0.2">
      <c r="A1" s="18" t="s">
        <v>673</v>
      </c>
      <c r="B1" s="18" t="s">
        <v>14</v>
      </c>
      <c r="C1" s="18" t="s">
        <v>462</v>
      </c>
      <c r="D1" s="118" t="s">
        <v>743</v>
      </c>
      <c r="E1" s="112" t="s">
        <v>744</v>
      </c>
      <c r="F1" s="112" t="s">
        <v>745</v>
      </c>
      <c r="G1" s="18" t="s">
        <v>583</v>
      </c>
      <c r="H1" s="84" t="s">
        <v>336</v>
      </c>
      <c r="I1" s="84" t="s">
        <v>337</v>
      </c>
      <c r="J1" s="84" t="s">
        <v>338</v>
      </c>
      <c r="K1" s="84" t="s">
        <v>663</v>
      </c>
      <c r="L1" s="84" t="s">
        <v>339</v>
      </c>
      <c r="M1" s="84" t="s">
        <v>340</v>
      </c>
      <c r="N1" s="99" t="s">
        <v>360</v>
      </c>
      <c r="O1" s="99" t="s">
        <v>361</v>
      </c>
      <c r="P1" s="99" t="s">
        <v>362</v>
      </c>
      <c r="Q1" s="99" t="s">
        <v>363</v>
      </c>
      <c r="R1" s="67" t="s">
        <v>341</v>
      </c>
      <c r="S1" s="67" t="s">
        <v>342</v>
      </c>
      <c r="T1" s="67" t="s">
        <v>343</v>
      </c>
      <c r="U1" s="67" t="s">
        <v>344</v>
      </c>
      <c r="V1" s="67" t="s">
        <v>345</v>
      </c>
      <c r="W1" s="67" t="s">
        <v>346</v>
      </c>
      <c r="X1" s="67" t="s">
        <v>347</v>
      </c>
      <c r="Y1" s="39" t="s">
        <v>348</v>
      </c>
      <c r="Z1" s="67" t="s">
        <v>349</v>
      </c>
      <c r="AA1" s="67" t="s">
        <v>350</v>
      </c>
      <c r="AB1" s="39" t="s">
        <v>351</v>
      </c>
    </row>
    <row r="2" spans="1:28" s="91" customFormat="1" ht="66.5" customHeight="1" x14ac:dyDescent="0.2">
      <c r="A2" s="22" t="s">
        <v>674</v>
      </c>
      <c r="B2" s="26" t="s">
        <v>16</v>
      </c>
      <c r="C2" s="26" t="s">
        <v>332</v>
      </c>
      <c r="D2" s="113" t="s">
        <v>738</v>
      </c>
      <c r="E2" s="113" t="s">
        <v>739</v>
      </c>
      <c r="F2" s="113" t="s">
        <v>737</v>
      </c>
      <c r="G2" s="26" t="s">
        <v>584</v>
      </c>
      <c r="H2" s="85" t="s">
        <v>352</v>
      </c>
      <c r="I2" s="85" t="s">
        <v>666</v>
      </c>
      <c r="J2" s="85" t="s">
        <v>399</v>
      </c>
      <c r="K2" s="85" t="s">
        <v>723</v>
      </c>
      <c r="L2" s="85" t="s">
        <v>671</v>
      </c>
      <c r="M2" s="85" t="s">
        <v>353</v>
      </c>
      <c r="N2" s="90" t="s">
        <v>382</v>
      </c>
      <c r="O2" s="90" t="s">
        <v>381</v>
      </c>
      <c r="P2" s="90" t="s">
        <v>398</v>
      </c>
      <c r="Q2" s="90"/>
      <c r="R2" s="48" t="s">
        <v>354</v>
      </c>
      <c r="S2" s="48" t="s">
        <v>355</v>
      </c>
      <c r="T2" s="48" t="s">
        <v>86</v>
      </c>
      <c r="U2" s="48" t="s">
        <v>87</v>
      </c>
      <c r="V2" s="48" t="s">
        <v>88</v>
      </c>
      <c r="W2" s="48" t="s">
        <v>356</v>
      </c>
      <c r="X2" s="48" t="s">
        <v>397</v>
      </c>
      <c r="Y2" s="48" t="s">
        <v>396</v>
      </c>
      <c r="Z2" s="48" t="s">
        <v>357</v>
      </c>
      <c r="AA2" s="48" t="s">
        <v>358</v>
      </c>
      <c r="AB2" s="48" t="s">
        <v>359</v>
      </c>
    </row>
    <row r="3" spans="1:28" s="34" customFormat="1" ht="28" x14ac:dyDescent="0.2">
      <c r="A3" s="28" t="s">
        <v>366</v>
      </c>
      <c r="B3" s="27"/>
      <c r="C3" s="27"/>
      <c r="D3" s="114" t="s">
        <v>735</v>
      </c>
      <c r="E3" s="114" t="s">
        <v>34</v>
      </c>
      <c r="F3" s="114" t="s">
        <v>736</v>
      </c>
      <c r="G3" s="27" t="s">
        <v>40</v>
      </c>
      <c r="H3" s="86" t="s">
        <v>400</v>
      </c>
      <c r="I3" s="86"/>
      <c r="J3" s="86"/>
      <c r="K3" s="86"/>
      <c r="L3" s="86" t="s">
        <v>672</v>
      </c>
      <c r="M3" s="86" t="s">
        <v>331</v>
      </c>
      <c r="N3" s="89" t="s">
        <v>37</v>
      </c>
      <c r="O3" s="89"/>
      <c r="P3" s="89"/>
      <c r="Q3" s="89"/>
      <c r="R3" s="60" t="s">
        <v>131</v>
      </c>
      <c r="S3" s="60" t="s">
        <v>131</v>
      </c>
      <c r="T3" s="124"/>
      <c r="U3" s="60"/>
      <c r="V3" s="60" t="s">
        <v>132</v>
      </c>
      <c r="W3" s="60" t="s">
        <v>131</v>
      </c>
      <c r="X3" s="60" t="s">
        <v>131</v>
      </c>
      <c r="Y3" s="60" t="s">
        <v>131</v>
      </c>
      <c r="Z3" s="60"/>
      <c r="AA3" s="60"/>
      <c r="AB3" s="60"/>
    </row>
    <row r="4" spans="1:28" x14ac:dyDescent="0.2">
      <c r="A4" s="14"/>
      <c r="D4" s="119"/>
      <c r="E4" s="119"/>
      <c r="F4" s="119"/>
      <c r="G4" s="9"/>
    </row>
    <row r="5" spans="1:28" x14ac:dyDescent="0.2">
      <c r="A5" s="14"/>
      <c r="F5" s="120"/>
      <c r="G5" s="9"/>
    </row>
    <row r="6" spans="1:28" x14ac:dyDescent="0.2">
      <c r="A6" s="14"/>
      <c r="F6" s="120"/>
      <c r="G6" s="9"/>
    </row>
    <row r="7" spans="1:28" x14ac:dyDescent="0.2">
      <c r="A7" s="14"/>
      <c r="F7" s="120"/>
    </row>
    <row r="8" spans="1:28" x14ac:dyDescent="0.2">
      <c r="F8" s="120"/>
    </row>
    <row r="9" spans="1:28" x14ac:dyDescent="0.2">
      <c r="F9" s="120"/>
    </row>
    <row r="10" spans="1:28" x14ac:dyDescent="0.2">
      <c r="F10" s="120"/>
    </row>
    <row r="11" spans="1:28" x14ac:dyDescent="0.2">
      <c r="F11" s="120"/>
    </row>
    <row r="12" spans="1:28" x14ac:dyDescent="0.2">
      <c r="F12" s="120"/>
    </row>
    <row r="13" spans="1:28" x14ac:dyDescent="0.2">
      <c r="F13" s="120"/>
    </row>
    <row r="14" spans="1:28" x14ac:dyDescent="0.2">
      <c r="F14" s="120"/>
    </row>
    <row r="15" spans="1:28" x14ac:dyDescent="0.2">
      <c r="F15" s="120"/>
    </row>
    <row r="16" spans="1:28" x14ac:dyDescent="0.2">
      <c r="F16" s="120"/>
    </row>
    <row r="17" spans="6:6" x14ac:dyDescent="0.2">
      <c r="F17" s="120"/>
    </row>
    <row r="18" spans="6:6" x14ac:dyDescent="0.2">
      <c r="F18" s="120"/>
    </row>
    <row r="19" spans="6:6" x14ac:dyDescent="0.2">
      <c r="F19" s="120"/>
    </row>
    <row r="20" spans="6:6" x14ac:dyDescent="0.2">
      <c r="F20" s="120"/>
    </row>
    <row r="21" spans="6:6" x14ac:dyDescent="0.2">
      <c r="F21" s="120"/>
    </row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500-000000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500-000001000000}">
          <x14:formula1>
            <xm:f>'controlled vocabulary'!$AF$4:$AF$6</xm:f>
          </x14:formula1>
          <xm:sqref>H4:H1048576</xm:sqref>
        </x14:dataValidation>
        <x14:dataValidation type="list" allowBlank="1" showInputMessage="1" showErrorMessage="1" xr:uid="{00000000-0002-0000-0500-000002000000}">
          <x14:formula1>
            <xm:f>'controlled vocabulary'!$AG$4:$AG$8</xm:f>
          </x14:formula1>
          <xm:sqref>I4:I1048576</xm:sqref>
        </x14:dataValidation>
        <x14:dataValidation type="list" allowBlank="1" showInputMessage="1" showErrorMessage="1" xr:uid="{00000000-0002-0000-0500-000003000000}">
          <x14:formula1>
            <xm:f>'controlled vocabulary'!$AH$4:$AH$5</xm:f>
          </x14:formula1>
          <xm:sqref>J4:J1048576</xm:sqref>
        </x14:dataValidation>
        <x14:dataValidation type="list" allowBlank="1" showInputMessage="1" showErrorMessage="1" xr:uid="{00000000-0002-0000-0500-000004000000}">
          <x14:formula1>
            <xm:f>'controlled vocabulary'!$AI$4:$AI$9</xm:f>
          </x14:formula1>
          <xm:sqref>K4:K1048576</xm:sqref>
        </x14:dataValidation>
        <x14:dataValidation type="list" allowBlank="1" showInputMessage="1" showErrorMessage="1" xr:uid="{00000000-0002-0000-0500-000005000000}">
          <x14:formula1>
            <xm:f>'controlled vocabulary'!$AJ$4:$AJ$7</xm:f>
          </x14:formula1>
          <xm:sqref>Q4:Q1048576</xm:sqref>
        </x14:dataValidation>
        <x14:dataValidation type="list" allowBlank="1" showInputMessage="1" showErrorMessage="1" xr:uid="{00000000-0002-0000-0500-000006000000}">
          <x14:formula1>
            <xm:f>'controlled vocabulary'!#REF!</xm:f>
          </x14:formula1>
          <xm:sqref>L4:L1048576</xm:sqref>
        </x14:dataValidation>
        <x14:dataValidation type="list" allowBlank="1" showInputMessage="1" showErrorMessage="1" xr:uid="{00000000-0002-0000-0500-000007000000}">
          <x14:formula1>
            <xm:f>OFFSET(profile!$D$1,3,0,COUNTA(profile!$B:$B)-2,1)</xm:f>
          </x14:formula1>
          <xm:sqref>C5:C1048576</xm:sqref>
        </x14:dataValidation>
        <x14:dataValidation type="list" allowBlank="1" showInputMessage="1" showErrorMessage="1" xr:uid="{00000000-0002-0000-0500-000008000000}">
          <x14:formula1>
            <xm:f>OFFSET(profile!$D$1,3,0,COUNTA(profile!$D:$D)-2,1)</xm:f>
          </x14:formula1>
          <xm:sqref>C1:C1048576</xm:sqref>
        </x14:dataValidation>
        <x14:dataValidation type="list" allowBlank="1" showInputMessage="1" showErrorMessage="1" xr:uid="{00000000-0002-0000-0500-000009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W1000"/>
  <sheetViews>
    <sheetView tabSelected="1" topLeftCell="E1" workbookViewId="0">
      <selection activeCell="H12" sqref="H12"/>
    </sheetView>
  </sheetViews>
  <sheetFormatPr baseColWidth="10" defaultColWidth="15.1640625" defaultRowHeight="15" customHeight="1" x14ac:dyDescent="0.2"/>
  <cols>
    <col min="1" max="1" width="14.5" style="3" customWidth="1"/>
    <col min="2" max="2" width="11.5" style="10" bestFit="1" customWidth="1"/>
    <col min="3" max="3" width="23.1640625" style="10" customWidth="1"/>
    <col min="4" max="4" width="21" style="10" customWidth="1"/>
    <col min="5" max="7" width="16.5" style="10" customWidth="1"/>
    <col min="8" max="8" width="16.1640625" style="10" bestFit="1" customWidth="1"/>
    <col min="9" max="9" width="15.5" style="10" customWidth="1"/>
    <col min="10" max="10" width="16.5" style="10" bestFit="1" customWidth="1"/>
    <col min="11" max="12" width="16.5" style="10" customWidth="1"/>
    <col min="13" max="13" width="16.5" style="11" customWidth="1"/>
    <col min="14" max="14" width="18.5" style="3" customWidth="1"/>
    <col min="15" max="15" width="27.1640625" style="3" customWidth="1"/>
    <col min="16" max="16" width="46" style="3" customWidth="1"/>
    <col min="17" max="17" width="14.33203125" style="3" customWidth="1"/>
    <col min="18" max="18" width="13.83203125" style="3" customWidth="1"/>
    <col min="19" max="19" width="14.5" style="115" bestFit="1" customWidth="1"/>
    <col min="20" max="20" width="15" style="115" bestFit="1" customWidth="1"/>
    <col min="21" max="21" width="17.83203125" style="115" customWidth="1"/>
    <col min="22" max="22" width="19.5" style="3" bestFit="1" customWidth="1"/>
    <col min="23" max="23" width="13.83203125" style="3" customWidth="1"/>
    <col min="24" max="24" width="10.5" style="3" customWidth="1"/>
    <col min="25" max="26" width="11.83203125" style="3" customWidth="1"/>
    <col min="27" max="27" width="10.5" style="3" customWidth="1"/>
    <col min="28" max="28" width="10" style="3" customWidth="1"/>
    <col min="29" max="30" width="8.1640625" style="3" customWidth="1"/>
    <col min="31" max="31" width="11" style="3" customWidth="1"/>
    <col min="32" max="32" width="16.83203125" style="3" customWidth="1"/>
    <col min="33" max="33" width="10.5" style="3" customWidth="1"/>
    <col min="34" max="34" width="8.5" style="3" customWidth="1"/>
    <col min="35" max="36" width="14" style="3" customWidth="1"/>
    <col min="37" max="37" width="17.5" style="3" customWidth="1"/>
    <col min="38" max="39" width="23" style="3" customWidth="1"/>
    <col min="40" max="40" width="20.5" style="3" bestFit="1" customWidth="1"/>
    <col min="41" max="41" width="12.5" style="3" bestFit="1" customWidth="1"/>
    <col min="42" max="42" width="16.5" style="3" bestFit="1" customWidth="1"/>
    <col min="43" max="44" width="14.5" style="3" customWidth="1"/>
    <col min="45" max="46" width="13.5" style="3" customWidth="1"/>
    <col min="47" max="47" width="14.5" style="3" customWidth="1"/>
    <col min="48" max="60" width="15.1640625" style="7"/>
    <col min="61" max="61" width="12.5" style="3" customWidth="1"/>
    <col min="62" max="62" width="15.5" style="3" customWidth="1"/>
    <col min="63" max="63" width="16.5" style="3" customWidth="1"/>
    <col min="64" max="64" width="15.5" style="3" customWidth="1"/>
    <col min="65" max="68" width="11.5" style="3" customWidth="1"/>
    <col min="69" max="69" width="13.1640625" style="3" customWidth="1"/>
    <col min="70" max="70" width="17.83203125" style="3" customWidth="1"/>
    <col min="71" max="71" width="11.5" style="3" customWidth="1"/>
    <col min="72" max="72" width="17.5" style="3" customWidth="1"/>
    <col min="73" max="73" width="14.83203125" style="3" customWidth="1"/>
    <col min="74" max="74" width="13.1640625" style="3" customWidth="1"/>
    <col min="75" max="75" width="15.1640625" style="7"/>
    <col min="76" max="16384" width="15.1640625" style="3"/>
  </cols>
  <sheetData>
    <row r="1" spans="1:75" s="21" customFormat="1" ht="19.5" customHeight="1" x14ac:dyDescent="0.2">
      <c r="A1" s="18" t="s">
        <v>673</v>
      </c>
      <c r="B1" s="18" t="s">
        <v>14</v>
      </c>
      <c r="C1" s="18" t="s">
        <v>462</v>
      </c>
      <c r="D1" s="18" t="s">
        <v>493</v>
      </c>
      <c r="E1" s="18" t="s">
        <v>585</v>
      </c>
      <c r="F1" s="18" t="s">
        <v>586</v>
      </c>
      <c r="G1" s="18" t="s">
        <v>910</v>
      </c>
      <c r="H1" s="65" t="s">
        <v>587</v>
      </c>
      <c r="I1" s="18" t="s">
        <v>588</v>
      </c>
      <c r="J1" s="65" t="s">
        <v>589</v>
      </c>
      <c r="K1" s="65" t="s">
        <v>590</v>
      </c>
      <c r="L1" s="65" t="s">
        <v>591</v>
      </c>
      <c r="M1" s="65" t="s">
        <v>592</v>
      </c>
      <c r="N1" s="19" t="s">
        <v>593</v>
      </c>
      <c r="O1" s="19" t="s">
        <v>594</v>
      </c>
      <c r="P1" s="19" t="s">
        <v>595</v>
      </c>
      <c r="Q1" s="19" t="s">
        <v>918</v>
      </c>
      <c r="R1" s="19" t="s">
        <v>596</v>
      </c>
      <c r="S1" s="112" t="s">
        <v>740</v>
      </c>
      <c r="T1" s="112" t="s">
        <v>741</v>
      </c>
      <c r="U1" s="112" t="s">
        <v>742</v>
      </c>
      <c r="V1" s="38" t="s">
        <v>597</v>
      </c>
      <c r="W1" s="66" t="s">
        <v>598</v>
      </c>
      <c r="X1" s="66" t="s">
        <v>599</v>
      </c>
      <c r="Y1" s="66" t="s">
        <v>600</v>
      </c>
      <c r="Z1" s="66" t="s">
        <v>601</v>
      </c>
      <c r="AA1" s="66" t="s">
        <v>602</v>
      </c>
      <c r="AB1" s="66" t="s">
        <v>603</v>
      </c>
      <c r="AC1" s="67" t="s">
        <v>604</v>
      </c>
      <c r="AD1" s="67" t="s">
        <v>605</v>
      </c>
      <c r="AE1" s="67" t="s">
        <v>606</v>
      </c>
      <c r="AF1" s="67" t="s">
        <v>607</v>
      </c>
      <c r="AG1" s="67" t="s">
        <v>608</v>
      </c>
      <c r="AH1" s="67" t="s">
        <v>609</v>
      </c>
      <c r="AI1" s="67" t="s">
        <v>610</v>
      </c>
      <c r="AJ1" s="39" t="s">
        <v>611</v>
      </c>
      <c r="AK1" s="131" t="s">
        <v>859</v>
      </c>
      <c r="AL1" s="132" t="s">
        <v>860</v>
      </c>
      <c r="AM1" s="133" t="s">
        <v>861</v>
      </c>
      <c r="AN1" s="40" t="s">
        <v>724</v>
      </c>
      <c r="AO1" s="40" t="s">
        <v>725</v>
      </c>
      <c r="AP1" s="40" t="s">
        <v>726</v>
      </c>
      <c r="AQ1" s="68" t="s">
        <v>713</v>
      </c>
      <c r="AR1" s="68" t="s">
        <v>714</v>
      </c>
      <c r="AS1" s="68" t="s">
        <v>715</v>
      </c>
      <c r="AT1" s="68" t="s">
        <v>716</v>
      </c>
      <c r="AU1" s="68" t="s">
        <v>717</v>
      </c>
      <c r="AV1" s="68" t="s">
        <v>777</v>
      </c>
      <c r="AW1" s="68" t="s">
        <v>778</v>
      </c>
      <c r="AX1" s="68" t="s">
        <v>779</v>
      </c>
      <c r="AY1" s="68" t="s">
        <v>780</v>
      </c>
      <c r="AZ1" s="68" t="s">
        <v>781</v>
      </c>
      <c r="BA1" s="68" t="s">
        <v>782</v>
      </c>
      <c r="BB1" s="68" t="s">
        <v>783</v>
      </c>
      <c r="BC1" s="68" t="s">
        <v>784</v>
      </c>
      <c r="BD1" s="68" t="s">
        <v>785</v>
      </c>
      <c r="BE1" s="68" t="s">
        <v>786</v>
      </c>
      <c r="BF1" s="68" t="s">
        <v>787</v>
      </c>
      <c r="BG1" s="68" t="s">
        <v>788</v>
      </c>
      <c r="BH1" s="68" t="s">
        <v>789</v>
      </c>
      <c r="BI1" s="42" t="s">
        <v>612</v>
      </c>
      <c r="BJ1" s="42" t="s">
        <v>613</v>
      </c>
      <c r="BK1" s="42" t="s">
        <v>614</v>
      </c>
      <c r="BL1" s="42" t="s">
        <v>615</v>
      </c>
      <c r="BM1" s="42" t="s">
        <v>616</v>
      </c>
      <c r="BN1" s="42" t="s">
        <v>790</v>
      </c>
      <c r="BO1" s="42" t="s">
        <v>617</v>
      </c>
      <c r="BP1" s="42" t="s">
        <v>618</v>
      </c>
      <c r="BQ1" s="42" t="s">
        <v>619</v>
      </c>
      <c r="BR1" s="42" t="s">
        <v>620</v>
      </c>
      <c r="BS1" s="42" t="s">
        <v>621</v>
      </c>
      <c r="BT1" s="42" t="s">
        <v>622</v>
      </c>
      <c r="BU1" s="42" t="s">
        <v>623</v>
      </c>
      <c r="BV1" s="42" t="s">
        <v>624</v>
      </c>
      <c r="BW1" s="43" t="s">
        <v>625</v>
      </c>
    </row>
    <row r="2" spans="1:75" s="21" customFormat="1" ht="80" customHeight="1" x14ac:dyDescent="0.2">
      <c r="A2" s="22" t="s">
        <v>674</v>
      </c>
      <c r="B2" s="26" t="s">
        <v>16</v>
      </c>
      <c r="C2" s="26" t="s">
        <v>332</v>
      </c>
      <c r="D2" s="26" t="s">
        <v>56</v>
      </c>
      <c r="E2" s="26" t="s">
        <v>137</v>
      </c>
      <c r="F2" s="26" t="s">
        <v>429</v>
      </c>
      <c r="G2" s="26" t="s">
        <v>911</v>
      </c>
      <c r="H2" s="26" t="s">
        <v>139</v>
      </c>
      <c r="I2" s="26" t="s">
        <v>138</v>
      </c>
      <c r="J2" s="26" t="s">
        <v>140</v>
      </c>
      <c r="K2" s="26" t="s">
        <v>141</v>
      </c>
      <c r="L2" s="26" t="s">
        <v>142</v>
      </c>
      <c r="M2" s="69" t="s">
        <v>287</v>
      </c>
      <c r="N2" s="22" t="s">
        <v>143</v>
      </c>
      <c r="O2" s="22" t="s">
        <v>144</v>
      </c>
      <c r="P2" s="22" t="s">
        <v>145</v>
      </c>
      <c r="Q2" s="22" t="s">
        <v>919</v>
      </c>
      <c r="R2" s="22" t="s">
        <v>146</v>
      </c>
      <c r="S2" s="113" t="s">
        <v>738</v>
      </c>
      <c r="T2" s="113" t="s">
        <v>739</v>
      </c>
      <c r="U2" s="113" t="s">
        <v>737</v>
      </c>
      <c r="V2" s="47"/>
      <c r="W2" s="47" t="s">
        <v>283</v>
      </c>
      <c r="X2" s="47" t="s">
        <v>147</v>
      </c>
      <c r="Y2" s="47" t="s">
        <v>148</v>
      </c>
      <c r="Z2" s="47" t="s">
        <v>275</v>
      </c>
      <c r="AA2" s="47" t="s">
        <v>149</v>
      </c>
      <c r="AB2" s="47" t="s">
        <v>150</v>
      </c>
      <c r="AC2" s="48" t="s">
        <v>151</v>
      </c>
      <c r="AD2" s="48" t="s">
        <v>152</v>
      </c>
      <c r="AE2" s="48" t="s">
        <v>86</v>
      </c>
      <c r="AF2" s="48" t="s">
        <v>87</v>
      </c>
      <c r="AG2" s="48" t="s">
        <v>88</v>
      </c>
      <c r="AH2" s="48" t="s">
        <v>153</v>
      </c>
      <c r="AI2" s="48" t="s">
        <v>430</v>
      </c>
      <c r="AJ2" s="48" t="s">
        <v>432</v>
      </c>
      <c r="AK2" s="48" t="s">
        <v>154</v>
      </c>
      <c r="AL2" s="48" t="s">
        <v>431</v>
      </c>
      <c r="AM2" s="48" t="s">
        <v>433</v>
      </c>
      <c r="AN2" s="50" t="s">
        <v>91</v>
      </c>
      <c r="AO2" s="50" t="s">
        <v>92</v>
      </c>
      <c r="AP2" s="50" t="s">
        <v>93</v>
      </c>
      <c r="AQ2" s="105" t="s">
        <v>95</v>
      </c>
      <c r="AR2" s="105" t="s">
        <v>96</v>
      </c>
      <c r="AS2" s="105" t="s">
        <v>97</v>
      </c>
      <c r="AT2" s="105" t="s">
        <v>98</v>
      </c>
      <c r="AU2" s="105" t="s">
        <v>718</v>
      </c>
      <c r="AV2" s="51" t="s">
        <v>100</v>
      </c>
      <c r="AW2" s="51" t="s">
        <v>101</v>
      </c>
      <c r="AX2" s="52" t="s">
        <v>102</v>
      </c>
      <c r="AY2" s="52" t="s">
        <v>103</v>
      </c>
      <c r="AZ2" s="51" t="s">
        <v>104</v>
      </c>
      <c r="BA2" s="51" t="s">
        <v>105</v>
      </c>
      <c r="BB2" s="51" t="s">
        <v>106</v>
      </c>
      <c r="BC2" s="52" t="s">
        <v>107</v>
      </c>
      <c r="BD2" s="52" t="s">
        <v>108</v>
      </c>
      <c r="BE2" s="51" t="s">
        <v>109</v>
      </c>
      <c r="BF2" s="51" t="s">
        <v>110</v>
      </c>
      <c r="BG2" s="51" t="s">
        <v>111</v>
      </c>
      <c r="BH2" s="52" t="s">
        <v>112</v>
      </c>
      <c r="BI2" s="53" t="s">
        <v>114</v>
      </c>
      <c r="BJ2" s="53" t="s">
        <v>115</v>
      </c>
      <c r="BK2" s="53" t="s">
        <v>116</v>
      </c>
      <c r="BL2" s="53" t="s">
        <v>155</v>
      </c>
      <c r="BM2" s="53" t="s">
        <v>387</v>
      </c>
      <c r="BN2" s="53" t="s">
        <v>118</v>
      </c>
      <c r="BO2" s="53" t="s">
        <v>119</v>
      </c>
      <c r="BP2" s="53" t="s">
        <v>120</v>
      </c>
      <c r="BQ2" s="53" t="s">
        <v>121</v>
      </c>
      <c r="BR2" s="53" t="s">
        <v>386</v>
      </c>
      <c r="BS2" s="53" t="s">
        <v>122</v>
      </c>
      <c r="BT2" s="53" t="s">
        <v>123</v>
      </c>
      <c r="BU2" s="53" t="s">
        <v>124</v>
      </c>
      <c r="BV2" s="53" t="s">
        <v>125</v>
      </c>
      <c r="BW2" s="70" t="s">
        <v>286</v>
      </c>
    </row>
    <row r="3" spans="1:75" s="34" customFormat="1" ht="27" customHeight="1" x14ac:dyDescent="0.2">
      <c r="A3" s="28" t="s">
        <v>366</v>
      </c>
      <c r="B3" s="27"/>
      <c r="C3" s="27"/>
      <c r="D3" s="27"/>
      <c r="E3" s="27"/>
      <c r="F3" s="27" t="s">
        <v>626</v>
      </c>
      <c r="G3" s="27" t="s">
        <v>912</v>
      </c>
      <c r="H3" s="27" t="s">
        <v>157</v>
      </c>
      <c r="I3" s="27" t="s">
        <v>156</v>
      </c>
      <c r="J3" s="27" t="s">
        <v>158</v>
      </c>
      <c r="K3" s="27"/>
      <c r="L3" s="27"/>
      <c r="M3" s="71"/>
      <c r="N3" s="28" t="s">
        <v>159</v>
      </c>
      <c r="O3" s="28" t="s">
        <v>377</v>
      </c>
      <c r="P3" s="28"/>
      <c r="Q3" s="28" t="s">
        <v>377</v>
      </c>
      <c r="R3" s="28" t="s">
        <v>37</v>
      </c>
      <c r="S3" s="114" t="s">
        <v>735</v>
      </c>
      <c r="T3" s="114" t="s">
        <v>34</v>
      </c>
      <c r="U3" s="114" t="s">
        <v>736</v>
      </c>
      <c r="V3" s="59"/>
      <c r="W3" s="59" t="s">
        <v>37</v>
      </c>
      <c r="X3" s="59" t="s">
        <v>37</v>
      </c>
      <c r="Y3" s="59" t="s">
        <v>37</v>
      </c>
      <c r="Z3" s="59" t="s">
        <v>37</v>
      </c>
      <c r="AA3" s="59" t="s">
        <v>37</v>
      </c>
      <c r="AB3" s="59"/>
      <c r="AC3" s="60" t="s">
        <v>131</v>
      </c>
      <c r="AD3" s="60" t="s">
        <v>131</v>
      </c>
      <c r="AE3" s="60"/>
      <c r="AF3" s="60"/>
      <c r="AG3" s="60" t="s">
        <v>132</v>
      </c>
      <c r="AH3" s="60" t="s">
        <v>131</v>
      </c>
      <c r="AI3" s="60" t="s">
        <v>131</v>
      </c>
      <c r="AJ3" s="60" t="s">
        <v>131</v>
      </c>
      <c r="AK3" s="60"/>
      <c r="AL3" s="60"/>
      <c r="AM3" s="60"/>
      <c r="AN3" s="61" t="s">
        <v>133</v>
      </c>
      <c r="AO3" s="61" t="s">
        <v>134</v>
      </c>
      <c r="AP3" s="61" t="s">
        <v>134</v>
      </c>
      <c r="AQ3" s="104" t="s">
        <v>719</v>
      </c>
      <c r="AR3" s="104" t="s">
        <v>719</v>
      </c>
      <c r="AS3" s="104" t="s">
        <v>719</v>
      </c>
      <c r="AT3" s="104" t="s">
        <v>719</v>
      </c>
      <c r="AU3" s="103"/>
      <c r="AV3" s="104" t="s">
        <v>719</v>
      </c>
      <c r="AW3" s="104" t="s">
        <v>719</v>
      </c>
      <c r="AX3" s="104" t="s">
        <v>719</v>
      </c>
      <c r="AY3" s="104" t="s">
        <v>719</v>
      </c>
      <c r="AZ3" s="62"/>
      <c r="BA3" s="104" t="s">
        <v>719</v>
      </c>
      <c r="BB3" s="104" t="s">
        <v>719</v>
      </c>
      <c r="BC3" s="104" t="s">
        <v>719</v>
      </c>
      <c r="BD3" s="104" t="s">
        <v>719</v>
      </c>
      <c r="BE3" s="62"/>
      <c r="BF3" s="104" t="s">
        <v>719</v>
      </c>
      <c r="BG3" s="104" t="s">
        <v>719</v>
      </c>
      <c r="BH3" s="104" t="s">
        <v>719</v>
      </c>
      <c r="BI3" s="63" t="s">
        <v>136</v>
      </c>
      <c r="BJ3" s="63" t="s">
        <v>136</v>
      </c>
      <c r="BK3" s="63" t="s">
        <v>136</v>
      </c>
      <c r="BL3" s="63" t="s">
        <v>136</v>
      </c>
      <c r="BM3" s="63" t="s">
        <v>136</v>
      </c>
      <c r="BN3" s="63" t="s">
        <v>136</v>
      </c>
      <c r="BO3" s="63" t="s">
        <v>136</v>
      </c>
      <c r="BP3" s="63" t="s">
        <v>136</v>
      </c>
      <c r="BQ3" s="63" t="s">
        <v>136</v>
      </c>
      <c r="BR3" s="63" t="s">
        <v>136</v>
      </c>
      <c r="BS3" s="63" t="s">
        <v>136</v>
      </c>
      <c r="BT3" s="63" t="s">
        <v>136</v>
      </c>
      <c r="BU3" s="63" t="s">
        <v>136</v>
      </c>
      <c r="BV3" s="63" t="s">
        <v>136</v>
      </c>
      <c r="BW3" s="63" t="s">
        <v>136</v>
      </c>
    </row>
    <row r="4" spans="1:75" ht="30" x14ac:dyDescent="0.2">
      <c r="A4" s="14" t="s">
        <v>810</v>
      </c>
      <c r="B4" s="9" t="s">
        <v>817</v>
      </c>
      <c r="C4" s="9" t="s">
        <v>817</v>
      </c>
      <c r="D4" s="9" t="s">
        <v>825</v>
      </c>
      <c r="E4" s="9" t="s">
        <v>834</v>
      </c>
      <c r="F4" s="9" t="s">
        <v>825</v>
      </c>
      <c r="G4" s="9" t="s">
        <v>921</v>
      </c>
      <c r="H4" s="9" t="s">
        <v>214</v>
      </c>
      <c r="I4" s="9" t="s">
        <v>913</v>
      </c>
      <c r="J4" s="9" t="s">
        <v>34</v>
      </c>
      <c r="K4" s="9">
        <v>1</v>
      </c>
      <c r="L4" s="9">
        <v>0</v>
      </c>
      <c r="M4" s="4" t="s">
        <v>224</v>
      </c>
      <c r="N4" s="6"/>
      <c r="P4" s="6" t="s">
        <v>922</v>
      </c>
      <c r="Q4" s="6"/>
      <c r="R4" s="6"/>
      <c r="S4" s="116"/>
      <c r="T4" s="116"/>
      <c r="W4" s="3">
        <v>8.75</v>
      </c>
      <c r="X4" s="117">
        <v>23.4</v>
      </c>
      <c r="Y4" s="13"/>
      <c r="Z4" s="6"/>
      <c r="AA4" s="6">
        <v>1.6</v>
      </c>
      <c r="AB4" s="6"/>
      <c r="AC4" s="6">
        <v>4.7</v>
      </c>
      <c r="AD4" s="6">
        <v>-26.7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BI4" s="7"/>
      <c r="BJ4" s="7"/>
      <c r="BK4" s="7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</row>
    <row r="5" spans="1:75" ht="30" x14ac:dyDescent="0.2">
      <c r="A5" s="14" t="s">
        <v>810</v>
      </c>
      <c r="B5" s="9" t="s">
        <v>821</v>
      </c>
      <c r="C5" s="9" t="s">
        <v>821</v>
      </c>
      <c r="D5" s="9" t="s">
        <v>829</v>
      </c>
      <c r="E5" s="9" t="s">
        <v>835</v>
      </c>
      <c r="F5" s="9" t="s">
        <v>829</v>
      </c>
      <c r="G5" s="9" t="s">
        <v>921</v>
      </c>
      <c r="H5" s="9" t="s">
        <v>214</v>
      </c>
      <c r="I5" s="9" t="s">
        <v>913</v>
      </c>
      <c r="J5" s="9" t="s">
        <v>34</v>
      </c>
      <c r="K5" s="9">
        <v>1</v>
      </c>
      <c r="L5" s="9">
        <v>0</v>
      </c>
      <c r="M5" s="4" t="s">
        <v>224</v>
      </c>
      <c r="N5" s="6"/>
      <c r="P5" s="6" t="s">
        <v>922</v>
      </c>
      <c r="Q5" s="6"/>
      <c r="R5" s="6"/>
      <c r="S5" s="116"/>
      <c r="T5" s="116"/>
      <c r="W5" s="3">
        <v>1.98412698412698</v>
      </c>
      <c r="X5" s="117">
        <v>27.7</v>
      </c>
      <c r="Y5" s="13"/>
      <c r="Z5" s="6"/>
      <c r="AA5" s="6">
        <v>1.6</v>
      </c>
      <c r="AB5" s="6"/>
      <c r="AC5" s="6">
        <v>2.6</v>
      </c>
      <c r="AD5" s="6">
        <v>-26.5</v>
      </c>
      <c r="AE5" s="6" t="s">
        <v>828</v>
      </c>
      <c r="AF5" s="6"/>
      <c r="AG5" s="6"/>
      <c r="AH5" s="6">
        <v>-995</v>
      </c>
      <c r="AI5" s="6"/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BI5" s="7"/>
      <c r="BJ5" s="7"/>
      <c r="BK5" s="7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</row>
    <row r="6" spans="1:75" ht="30" x14ac:dyDescent="0.2">
      <c r="A6" s="14" t="s">
        <v>810</v>
      </c>
      <c r="B6" s="9" t="s">
        <v>822</v>
      </c>
      <c r="C6" s="9" t="s">
        <v>822</v>
      </c>
      <c r="D6" s="9" t="s">
        <v>830</v>
      </c>
      <c r="E6" s="9" t="s">
        <v>836</v>
      </c>
      <c r="F6" s="9" t="s">
        <v>830</v>
      </c>
      <c r="G6" s="9" t="s">
        <v>921</v>
      </c>
      <c r="H6" s="9" t="s">
        <v>214</v>
      </c>
      <c r="I6" s="9" t="s">
        <v>913</v>
      </c>
      <c r="J6" s="9" t="s">
        <v>34</v>
      </c>
      <c r="K6" s="9">
        <v>1</v>
      </c>
      <c r="L6" s="9">
        <v>0</v>
      </c>
      <c r="M6" s="4" t="s">
        <v>224</v>
      </c>
      <c r="N6" s="6"/>
      <c r="P6" s="6" t="s">
        <v>922</v>
      </c>
      <c r="Q6" s="6"/>
      <c r="R6" s="6"/>
      <c r="S6" s="116"/>
      <c r="T6" s="116"/>
      <c r="W6" s="3">
        <v>2.5862068965517202</v>
      </c>
      <c r="X6" s="117">
        <v>18</v>
      </c>
      <c r="Y6" s="13"/>
      <c r="Z6" s="6"/>
      <c r="AA6" s="6">
        <v>1.2</v>
      </c>
      <c r="AB6" s="6"/>
      <c r="AC6" s="6">
        <v>0.7</v>
      </c>
      <c r="AD6" s="6">
        <v>-25.4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BI6" s="7"/>
      <c r="BJ6" s="7"/>
      <c r="BK6" s="7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</row>
    <row r="7" spans="1:75" ht="30" x14ac:dyDescent="0.2">
      <c r="A7" s="14" t="s">
        <v>810</v>
      </c>
      <c r="B7" s="9" t="s">
        <v>824</v>
      </c>
      <c r="C7" s="9" t="s">
        <v>824</v>
      </c>
      <c r="D7" s="9" t="s">
        <v>831</v>
      </c>
      <c r="E7" s="9" t="s">
        <v>837</v>
      </c>
      <c r="F7" s="9" t="s">
        <v>831</v>
      </c>
      <c r="G7" s="9" t="s">
        <v>921</v>
      </c>
      <c r="H7" s="9" t="s">
        <v>214</v>
      </c>
      <c r="I7" s="9" t="s">
        <v>913</v>
      </c>
      <c r="J7" s="9" t="s">
        <v>34</v>
      </c>
      <c r="K7" s="9">
        <v>1</v>
      </c>
      <c r="L7" s="9">
        <v>0</v>
      </c>
      <c r="M7" s="4" t="s">
        <v>224</v>
      </c>
      <c r="N7" s="6"/>
      <c r="P7" s="6" t="s">
        <v>922</v>
      </c>
      <c r="Q7" s="6"/>
      <c r="R7" s="6"/>
      <c r="S7" s="116"/>
      <c r="T7" s="116"/>
      <c r="W7" s="3">
        <v>14.9253731343284</v>
      </c>
      <c r="X7" s="117">
        <v>31.9</v>
      </c>
      <c r="Y7" s="13"/>
      <c r="Z7" s="6"/>
      <c r="AA7" s="6">
        <v>0.6</v>
      </c>
      <c r="AB7" s="6"/>
      <c r="AC7" s="6">
        <v>4.2</v>
      </c>
      <c r="AD7" s="6">
        <v>-27.6</v>
      </c>
      <c r="AE7" s="6" t="s">
        <v>828</v>
      </c>
      <c r="AF7" s="6"/>
      <c r="AG7" s="6"/>
      <c r="AH7" s="6">
        <v>110</v>
      </c>
      <c r="AI7" s="6"/>
      <c r="AJ7" s="6">
        <v>21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BI7" s="7"/>
      <c r="BJ7" s="7"/>
      <c r="BK7" s="7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</row>
    <row r="8" spans="1:75" ht="30" x14ac:dyDescent="0.2">
      <c r="A8" s="3" t="s">
        <v>810</v>
      </c>
      <c r="B8" s="9" t="s">
        <v>824</v>
      </c>
      <c r="C8" s="9" t="s">
        <v>824</v>
      </c>
      <c r="D8" s="9" t="s">
        <v>832</v>
      </c>
      <c r="E8" s="9" t="s">
        <v>838</v>
      </c>
      <c r="F8" s="9" t="s">
        <v>832</v>
      </c>
      <c r="G8" s="9" t="s">
        <v>921</v>
      </c>
      <c r="H8" s="9" t="s">
        <v>214</v>
      </c>
      <c r="I8" s="9" t="s">
        <v>913</v>
      </c>
      <c r="J8" s="9" t="s">
        <v>34</v>
      </c>
      <c r="K8" s="9">
        <v>1</v>
      </c>
      <c r="L8" s="9">
        <v>0</v>
      </c>
      <c r="M8" s="4" t="s">
        <v>224</v>
      </c>
      <c r="N8" s="6"/>
      <c r="P8" s="6" t="s">
        <v>922</v>
      </c>
      <c r="Q8" s="6"/>
      <c r="R8" s="6"/>
      <c r="S8" s="116"/>
      <c r="T8" s="116"/>
      <c r="W8" s="3">
        <v>12.3152709359606</v>
      </c>
      <c r="X8" s="117">
        <v>24.4</v>
      </c>
      <c r="Y8" s="13"/>
      <c r="Z8" s="6"/>
      <c r="AA8" s="6">
        <v>1.8</v>
      </c>
      <c r="AB8" s="6"/>
      <c r="AC8" s="6">
        <v>2.8</v>
      </c>
      <c r="AD8" s="6">
        <v>-25.1</v>
      </c>
      <c r="AE8" s="6" t="s">
        <v>828</v>
      </c>
      <c r="AF8" s="6"/>
      <c r="AG8" s="6"/>
      <c r="AH8" s="6">
        <v>-927</v>
      </c>
      <c r="AI8" s="6"/>
      <c r="AJ8" s="6">
        <v>26</v>
      </c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BI8" s="7"/>
      <c r="BJ8" s="7"/>
      <c r="BK8" s="7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</row>
    <row r="9" spans="1:75" ht="30" x14ac:dyDescent="0.2">
      <c r="A9" s="3" t="s">
        <v>810</v>
      </c>
      <c r="B9" s="9" t="s">
        <v>824</v>
      </c>
      <c r="C9" s="9" t="s">
        <v>824</v>
      </c>
      <c r="D9" s="9" t="s">
        <v>833</v>
      </c>
      <c r="E9" s="9" t="s">
        <v>839</v>
      </c>
      <c r="F9" s="9" t="s">
        <v>833</v>
      </c>
      <c r="G9" s="9" t="s">
        <v>921</v>
      </c>
      <c r="H9" s="9" t="s">
        <v>214</v>
      </c>
      <c r="I9" s="9" t="s">
        <v>913</v>
      </c>
      <c r="J9" s="9" t="s">
        <v>34</v>
      </c>
      <c r="K9" s="9">
        <v>1</v>
      </c>
      <c r="L9" s="9">
        <v>0</v>
      </c>
      <c r="M9" s="4" t="s">
        <v>224</v>
      </c>
      <c r="N9" s="6"/>
      <c r="P9" s="6" t="s">
        <v>922</v>
      </c>
      <c r="Q9" s="6"/>
      <c r="R9" s="6"/>
      <c r="S9" s="116"/>
      <c r="T9" s="116"/>
      <c r="W9" s="3">
        <v>1.40845070422535</v>
      </c>
      <c r="X9" s="117">
        <v>19.100000000000001</v>
      </c>
      <c r="Y9" s="13"/>
      <c r="Z9" s="6"/>
      <c r="AA9" s="6">
        <v>3.4</v>
      </c>
      <c r="AB9" s="6"/>
      <c r="AC9" s="6">
        <v>1.5</v>
      </c>
      <c r="AD9" s="6">
        <v>-24.8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BI9" s="7"/>
      <c r="BJ9" s="7"/>
      <c r="BK9" s="7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</row>
    <row r="10" spans="1:75" x14ac:dyDescent="0.2">
      <c r="A10" s="3" t="s">
        <v>810</v>
      </c>
      <c r="B10" s="8" t="s">
        <v>817</v>
      </c>
      <c r="C10" s="8" t="s">
        <v>817</v>
      </c>
      <c r="D10" s="8" t="s">
        <v>825</v>
      </c>
      <c r="E10" s="8" t="s">
        <v>840</v>
      </c>
      <c r="F10" s="8" t="s">
        <v>825</v>
      </c>
      <c r="G10" s="9" t="s">
        <v>920</v>
      </c>
      <c r="H10" s="9" t="s">
        <v>929</v>
      </c>
      <c r="I10" s="8" t="s">
        <v>914</v>
      </c>
      <c r="J10" s="8" t="s">
        <v>198</v>
      </c>
      <c r="K10" s="8">
        <v>0</v>
      </c>
      <c r="L10" s="8">
        <v>2</v>
      </c>
      <c r="M10" s="135" t="s">
        <v>917</v>
      </c>
      <c r="N10" s="13">
        <v>2</v>
      </c>
      <c r="P10" s="13" t="s">
        <v>923</v>
      </c>
      <c r="Q10" s="6"/>
      <c r="R10" s="13"/>
      <c r="S10" s="117"/>
      <c r="T10" s="117"/>
      <c r="X10" s="117">
        <v>0.9</v>
      </c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BI10" s="7"/>
      <c r="BJ10" s="7"/>
      <c r="BK10" s="7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</row>
    <row r="11" spans="1:75" x14ac:dyDescent="0.2">
      <c r="A11" s="3" t="s">
        <v>810</v>
      </c>
      <c r="B11" s="8" t="s">
        <v>821</v>
      </c>
      <c r="C11" s="8" t="s">
        <v>821</v>
      </c>
      <c r="D11" s="8" t="s">
        <v>829</v>
      </c>
      <c r="E11" s="8" t="s">
        <v>841</v>
      </c>
      <c r="F11" s="8" t="s">
        <v>829</v>
      </c>
      <c r="G11" s="9" t="s">
        <v>920</v>
      </c>
      <c r="H11" s="9" t="s">
        <v>929</v>
      </c>
      <c r="I11" s="8" t="s">
        <v>914</v>
      </c>
      <c r="J11" s="8" t="s">
        <v>198</v>
      </c>
      <c r="K11" s="8">
        <v>0</v>
      </c>
      <c r="L11" s="8">
        <v>2</v>
      </c>
      <c r="M11" s="135" t="s">
        <v>917</v>
      </c>
      <c r="N11" s="13">
        <v>2</v>
      </c>
      <c r="P11" s="13" t="s">
        <v>924</v>
      </c>
      <c r="Q11" s="6"/>
      <c r="R11" s="13"/>
      <c r="S11" s="117"/>
      <c r="T11" s="117"/>
      <c r="X11" s="117">
        <v>8.6999999999999993</v>
      </c>
      <c r="Y11" s="13"/>
      <c r="Z11" s="13"/>
      <c r="AA11" s="13"/>
      <c r="AB11" s="13"/>
      <c r="AC11" s="13"/>
      <c r="AD11" s="13">
        <v>-24.6</v>
      </c>
      <c r="AE11" s="13" t="s">
        <v>828</v>
      </c>
      <c r="AF11" s="13"/>
      <c r="AG11" s="13"/>
      <c r="AH11" s="13">
        <v>-938</v>
      </c>
      <c r="AI11" s="13"/>
      <c r="AJ11" s="13">
        <v>29</v>
      </c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BI11" s="7"/>
      <c r="BJ11" s="7"/>
      <c r="BK11" s="7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</row>
    <row r="12" spans="1:75" x14ac:dyDescent="0.2">
      <c r="A12" s="3" t="s">
        <v>810</v>
      </c>
      <c r="B12" s="8" t="s">
        <v>822</v>
      </c>
      <c r="C12" s="8" t="s">
        <v>822</v>
      </c>
      <c r="D12" s="8" t="s">
        <v>830</v>
      </c>
      <c r="E12" s="8" t="s">
        <v>842</v>
      </c>
      <c r="F12" s="8" t="s">
        <v>830</v>
      </c>
      <c r="G12" s="9" t="s">
        <v>920</v>
      </c>
      <c r="H12" s="9" t="s">
        <v>929</v>
      </c>
      <c r="I12" s="8" t="s">
        <v>914</v>
      </c>
      <c r="J12" s="8" t="s">
        <v>198</v>
      </c>
      <c r="K12" s="8">
        <v>0</v>
      </c>
      <c r="L12" s="8">
        <v>2</v>
      </c>
      <c r="M12" s="135" t="s">
        <v>917</v>
      </c>
      <c r="N12" s="13">
        <v>2</v>
      </c>
      <c r="P12" s="13" t="s">
        <v>925</v>
      </c>
      <c r="Q12" s="6"/>
      <c r="R12" s="13"/>
      <c r="S12" s="117"/>
      <c r="T12" s="117"/>
      <c r="X12" s="117">
        <v>1.2</v>
      </c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BI12" s="7"/>
      <c r="BJ12" s="7"/>
      <c r="BK12" s="7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</row>
    <row r="13" spans="1:75" x14ac:dyDescent="0.2">
      <c r="A13" s="3" t="s">
        <v>810</v>
      </c>
      <c r="B13" s="8" t="s">
        <v>824</v>
      </c>
      <c r="C13" s="8" t="s">
        <v>824</v>
      </c>
      <c r="D13" s="8" t="s">
        <v>831</v>
      </c>
      <c r="E13" s="8" t="s">
        <v>843</v>
      </c>
      <c r="F13" s="8" t="s">
        <v>831</v>
      </c>
      <c r="G13" s="9" t="s">
        <v>920</v>
      </c>
      <c r="H13" s="9" t="s">
        <v>929</v>
      </c>
      <c r="I13" s="8" t="s">
        <v>914</v>
      </c>
      <c r="J13" s="8" t="s">
        <v>198</v>
      </c>
      <c r="K13" s="8">
        <v>0</v>
      </c>
      <c r="L13" s="8">
        <v>2</v>
      </c>
      <c r="M13" s="135" t="s">
        <v>917</v>
      </c>
      <c r="N13" s="13">
        <v>2</v>
      </c>
      <c r="P13" s="13" t="s">
        <v>926</v>
      </c>
      <c r="Q13" s="6"/>
      <c r="R13" s="13"/>
      <c r="S13" s="117"/>
      <c r="T13" s="117"/>
      <c r="X13" s="117">
        <v>0.6</v>
      </c>
      <c r="Y13" s="13"/>
      <c r="Z13" s="13"/>
      <c r="AA13" s="13"/>
      <c r="AB13" s="13"/>
      <c r="AC13" s="13"/>
      <c r="AD13" s="13">
        <v>-26.5</v>
      </c>
      <c r="AE13" s="13" t="s">
        <v>828</v>
      </c>
      <c r="AF13" s="13"/>
      <c r="AG13" s="13"/>
      <c r="AH13" s="13">
        <v>-20</v>
      </c>
      <c r="AI13" s="13"/>
      <c r="AJ13" s="13">
        <v>29</v>
      </c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BI13" s="7"/>
      <c r="BJ13" s="7"/>
      <c r="BK13" s="7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</row>
    <row r="14" spans="1:75" x14ac:dyDescent="0.2">
      <c r="A14" s="3" t="s">
        <v>810</v>
      </c>
      <c r="B14" s="8" t="s">
        <v>824</v>
      </c>
      <c r="C14" s="8" t="s">
        <v>824</v>
      </c>
      <c r="D14" s="8" t="s">
        <v>832</v>
      </c>
      <c r="E14" s="8" t="s">
        <v>844</v>
      </c>
      <c r="F14" s="8" t="s">
        <v>832</v>
      </c>
      <c r="G14" s="9" t="s">
        <v>920</v>
      </c>
      <c r="H14" s="9" t="s">
        <v>929</v>
      </c>
      <c r="I14" s="8" t="s">
        <v>914</v>
      </c>
      <c r="J14" s="8" t="s">
        <v>198</v>
      </c>
      <c r="K14" s="8">
        <v>0</v>
      </c>
      <c r="L14" s="8">
        <v>2</v>
      </c>
      <c r="M14" s="135" t="s">
        <v>917</v>
      </c>
      <c r="N14" s="13">
        <v>2</v>
      </c>
      <c r="P14" s="13" t="s">
        <v>927</v>
      </c>
      <c r="Q14" s="6"/>
      <c r="R14" s="13"/>
      <c r="S14" s="117"/>
      <c r="T14" s="117"/>
      <c r="X14" s="117">
        <v>3</v>
      </c>
      <c r="Y14" s="13"/>
      <c r="Z14" s="13"/>
      <c r="AA14" s="13"/>
      <c r="AB14" s="13"/>
      <c r="AC14" s="13"/>
      <c r="AD14" s="13">
        <v>-25.5</v>
      </c>
      <c r="AE14" s="13" t="s">
        <v>828</v>
      </c>
      <c r="AF14" s="13"/>
      <c r="AG14" s="13"/>
      <c r="AH14" s="13">
        <v>-851</v>
      </c>
      <c r="AI14" s="13"/>
      <c r="AJ14" s="13">
        <v>3</v>
      </c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BI14" s="7"/>
      <c r="BJ14" s="7"/>
      <c r="BK14" s="7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</row>
    <row r="15" spans="1:75" x14ac:dyDescent="0.2">
      <c r="A15" s="3" t="s">
        <v>810</v>
      </c>
      <c r="B15" s="8" t="s">
        <v>824</v>
      </c>
      <c r="C15" s="8" t="s">
        <v>824</v>
      </c>
      <c r="D15" s="8" t="s">
        <v>833</v>
      </c>
      <c r="E15" s="8" t="s">
        <v>845</v>
      </c>
      <c r="F15" s="8" t="s">
        <v>833</v>
      </c>
      <c r="G15" s="9" t="s">
        <v>920</v>
      </c>
      <c r="H15" s="9" t="s">
        <v>929</v>
      </c>
      <c r="I15" s="8" t="s">
        <v>914</v>
      </c>
      <c r="J15" s="8" t="s">
        <v>198</v>
      </c>
      <c r="K15" s="8">
        <v>0</v>
      </c>
      <c r="L15" s="8">
        <v>2</v>
      </c>
      <c r="M15" s="135" t="s">
        <v>917</v>
      </c>
      <c r="N15" s="13">
        <v>2</v>
      </c>
      <c r="P15" s="13" t="s">
        <v>928</v>
      </c>
      <c r="Q15" s="6"/>
      <c r="R15" s="13"/>
      <c r="S15" s="117"/>
      <c r="T15" s="117"/>
      <c r="X15" s="117">
        <v>3.7</v>
      </c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BI15" s="7"/>
      <c r="BJ15" s="7"/>
      <c r="BK15" s="7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</row>
    <row r="16" spans="1:75" x14ac:dyDescent="0.2">
      <c r="A16" s="3" t="s">
        <v>810</v>
      </c>
      <c r="B16" s="9" t="s">
        <v>817</v>
      </c>
      <c r="C16" s="9" t="s">
        <v>817</v>
      </c>
      <c r="D16" s="9" t="s">
        <v>825</v>
      </c>
      <c r="E16" s="9" t="s">
        <v>846</v>
      </c>
      <c r="F16" s="9" t="s">
        <v>834</v>
      </c>
      <c r="G16" s="9" t="s">
        <v>920</v>
      </c>
      <c r="H16" s="9" t="s">
        <v>298</v>
      </c>
      <c r="I16" s="9" t="s">
        <v>915</v>
      </c>
      <c r="J16" s="9" t="s">
        <v>176</v>
      </c>
      <c r="K16" s="9">
        <v>2.1</v>
      </c>
      <c r="L16" s="9" t="s">
        <v>826</v>
      </c>
      <c r="M16" s="4" t="s">
        <v>255</v>
      </c>
      <c r="N16" s="6"/>
      <c r="P16" s="6"/>
      <c r="Q16" s="6"/>
      <c r="R16" s="6"/>
      <c r="S16" s="116"/>
      <c r="T16" s="116"/>
      <c r="W16" s="3">
        <v>71.25</v>
      </c>
      <c r="X16" s="117">
        <v>0.57999999999999996</v>
      </c>
      <c r="Y16" s="13"/>
      <c r="Z16" s="6"/>
      <c r="AA16" s="6">
        <v>0.09</v>
      </c>
      <c r="AB16" s="6"/>
      <c r="AC16" s="6">
        <v>4.4000000000000004</v>
      </c>
      <c r="AD16" s="6">
        <v>-25.1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BI16" s="7"/>
      <c r="BJ16" s="7"/>
      <c r="BK16" s="7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</row>
    <row r="17" spans="1:74" x14ac:dyDescent="0.2">
      <c r="A17" s="3" t="s">
        <v>810</v>
      </c>
      <c r="B17" s="9" t="s">
        <v>821</v>
      </c>
      <c r="C17" s="9" t="s">
        <v>821</v>
      </c>
      <c r="D17" s="9" t="s">
        <v>829</v>
      </c>
      <c r="E17" s="9" t="s">
        <v>847</v>
      </c>
      <c r="F17" s="9" t="s">
        <v>835</v>
      </c>
      <c r="G17" s="9" t="s">
        <v>920</v>
      </c>
      <c r="H17" s="9" t="s">
        <v>298</v>
      </c>
      <c r="I17" s="9" t="s">
        <v>915</v>
      </c>
      <c r="J17" s="9" t="s">
        <v>176</v>
      </c>
      <c r="K17" s="9">
        <v>2.1</v>
      </c>
      <c r="L17" s="9" t="s">
        <v>826</v>
      </c>
      <c r="M17" s="4" t="s">
        <v>255</v>
      </c>
      <c r="N17" s="6"/>
      <c r="P17" s="6"/>
      <c r="Q17" s="6"/>
      <c r="R17" s="6"/>
      <c r="S17" s="116"/>
      <c r="T17" s="116"/>
      <c r="W17" s="3">
        <v>87.698412698412696</v>
      </c>
      <c r="X17" s="117">
        <v>2.2400000000000002</v>
      </c>
      <c r="Y17" s="13"/>
      <c r="Z17" s="6"/>
      <c r="AA17" s="6">
        <v>0.24</v>
      </c>
      <c r="AB17" s="6"/>
      <c r="AC17" s="6">
        <v>3.8</v>
      </c>
      <c r="AD17" s="6">
        <v>-26</v>
      </c>
      <c r="AE17" s="6" t="s">
        <v>828</v>
      </c>
      <c r="AF17" s="6"/>
      <c r="AG17" s="6"/>
      <c r="AH17" s="6">
        <v>-995</v>
      </c>
      <c r="AI17" s="6"/>
      <c r="AJ17" s="17">
        <v>1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BI17" s="7"/>
      <c r="BJ17" s="7"/>
      <c r="BK17" s="7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</row>
    <row r="18" spans="1:74" x14ac:dyDescent="0.2">
      <c r="A18" s="3" t="s">
        <v>810</v>
      </c>
      <c r="B18" s="9" t="s">
        <v>822</v>
      </c>
      <c r="C18" s="9" t="s">
        <v>822</v>
      </c>
      <c r="D18" s="9" t="s">
        <v>830</v>
      </c>
      <c r="E18" s="9" t="s">
        <v>848</v>
      </c>
      <c r="F18" s="9" t="s">
        <v>836</v>
      </c>
      <c r="G18" s="9" t="s">
        <v>920</v>
      </c>
      <c r="H18" s="9" t="s">
        <v>298</v>
      </c>
      <c r="I18" s="9" t="s">
        <v>915</v>
      </c>
      <c r="J18" s="9" t="s">
        <v>176</v>
      </c>
      <c r="K18" s="9">
        <v>2.1</v>
      </c>
      <c r="L18" s="9" t="s">
        <v>826</v>
      </c>
      <c r="M18" s="4" t="s">
        <v>255</v>
      </c>
      <c r="N18" s="6"/>
      <c r="P18" s="6"/>
      <c r="Q18" s="6"/>
      <c r="R18" s="6"/>
      <c r="S18" s="116"/>
      <c r="T18" s="116"/>
      <c r="W18" s="3">
        <v>80.172413793103402</v>
      </c>
      <c r="X18" s="117">
        <v>0.94</v>
      </c>
      <c r="Y18" s="13"/>
      <c r="Z18" s="6"/>
      <c r="AA18" s="6">
        <v>0.11</v>
      </c>
      <c r="AB18" s="6"/>
      <c r="AC18" s="6">
        <v>2.6</v>
      </c>
      <c r="AD18" s="6">
        <v>-23.4</v>
      </c>
      <c r="AE18" s="6"/>
      <c r="AF18" s="6"/>
      <c r="AG18" s="6"/>
      <c r="AH18" s="6"/>
      <c r="AI18" s="6"/>
      <c r="AJ18" s="5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BI18" s="7"/>
      <c r="BJ18" s="7"/>
      <c r="BK18" s="7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</row>
    <row r="19" spans="1:74" x14ac:dyDescent="0.2">
      <c r="A19" s="3" t="s">
        <v>810</v>
      </c>
      <c r="B19" s="9" t="s">
        <v>824</v>
      </c>
      <c r="C19" s="9" t="s">
        <v>824</v>
      </c>
      <c r="D19" s="9" t="s">
        <v>831</v>
      </c>
      <c r="E19" s="9" t="s">
        <v>849</v>
      </c>
      <c r="F19" s="9" t="s">
        <v>837</v>
      </c>
      <c r="G19" s="9" t="s">
        <v>920</v>
      </c>
      <c r="H19" s="9" t="s">
        <v>298</v>
      </c>
      <c r="I19" s="9" t="s">
        <v>915</v>
      </c>
      <c r="J19" s="9" t="s">
        <v>176</v>
      </c>
      <c r="K19" s="9">
        <v>2.1</v>
      </c>
      <c r="L19" s="9" t="s">
        <v>826</v>
      </c>
      <c r="M19" s="4" t="s">
        <v>255</v>
      </c>
      <c r="N19" s="6"/>
      <c r="P19" s="6"/>
      <c r="Q19" s="6"/>
      <c r="R19" s="6"/>
      <c r="S19" s="116"/>
      <c r="T19" s="116"/>
      <c r="W19" s="3">
        <v>65.671641791044806</v>
      </c>
      <c r="X19" s="117">
        <v>0.44</v>
      </c>
      <c r="Y19" s="13"/>
      <c r="Z19" s="6"/>
      <c r="AA19" s="6">
        <v>0.08</v>
      </c>
      <c r="AB19" s="6"/>
      <c r="AC19" s="6">
        <v>4.9000000000000004</v>
      </c>
      <c r="AD19" s="6">
        <v>-24.6</v>
      </c>
      <c r="AE19" s="6" t="s">
        <v>828</v>
      </c>
      <c r="AF19" s="6"/>
      <c r="AG19" s="6"/>
      <c r="AH19" s="6">
        <v>-505</v>
      </c>
      <c r="AI19" s="6"/>
      <c r="AJ19" s="16">
        <v>60</v>
      </c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BI19" s="7"/>
      <c r="BJ19" s="7"/>
      <c r="BK19" s="7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</row>
    <row r="20" spans="1:74" x14ac:dyDescent="0.2">
      <c r="A20" s="3" t="s">
        <v>810</v>
      </c>
      <c r="B20" s="9" t="s">
        <v>824</v>
      </c>
      <c r="C20" s="9" t="s">
        <v>824</v>
      </c>
      <c r="D20" s="9" t="s">
        <v>832</v>
      </c>
      <c r="E20" s="9" t="s">
        <v>850</v>
      </c>
      <c r="F20" s="9" t="s">
        <v>838</v>
      </c>
      <c r="G20" s="9" t="s">
        <v>920</v>
      </c>
      <c r="H20" s="9" t="s">
        <v>298</v>
      </c>
      <c r="I20" s="9" t="s">
        <v>915</v>
      </c>
      <c r="J20" s="9" t="s">
        <v>176</v>
      </c>
      <c r="K20" s="9">
        <v>2.1</v>
      </c>
      <c r="L20" s="9" t="s">
        <v>826</v>
      </c>
      <c r="M20" s="4" t="s">
        <v>255</v>
      </c>
      <c r="N20" s="6"/>
      <c r="P20" s="6"/>
      <c r="Q20" s="6"/>
      <c r="R20" s="6"/>
      <c r="S20" s="116"/>
      <c r="T20" s="116"/>
      <c r="W20" s="3">
        <v>33.497536945812797</v>
      </c>
      <c r="X20" s="117">
        <v>1.36</v>
      </c>
      <c r="Y20" s="13"/>
      <c r="Z20" s="6"/>
      <c r="AA20" s="6">
        <v>0.16</v>
      </c>
      <c r="AB20" s="6"/>
      <c r="AC20" s="6">
        <v>4.3</v>
      </c>
      <c r="AD20" s="6">
        <v>-23.4</v>
      </c>
      <c r="AE20" s="6" t="s">
        <v>828</v>
      </c>
      <c r="AF20" s="6"/>
      <c r="AG20" s="6"/>
      <c r="AH20" s="6">
        <v>-969</v>
      </c>
      <c r="AI20" s="6"/>
      <c r="AJ20" s="6">
        <v>2</v>
      </c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BI20" s="7"/>
      <c r="BJ20" s="7"/>
      <c r="BK20" s="7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</row>
    <row r="21" spans="1:74" x14ac:dyDescent="0.2">
      <c r="A21" s="3" t="s">
        <v>810</v>
      </c>
      <c r="B21" s="9" t="s">
        <v>824</v>
      </c>
      <c r="C21" s="9" t="s">
        <v>824</v>
      </c>
      <c r="D21" s="9" t="s">
        <v>833</v>
      </c>
      <c r="E21" s="9" t="s">
        <v>851</v>
      </c>
      <c r="F21" s="9" t="s">
        <v>839</v>
      </c>
      <c r="G21" s="9" t="s">
        <v>920</v>
      </c>
      <c r="H21" s="9" t="s">
        <v>298</v>
      </c>
      <c r="I21" s="9" t="s">
        <v>915</v>
      </c>
      <c r="J21" s="9" t="s">
        <v>176</v>
      </c>
      <c r="K21" s="9">
        <v>2.1</v>
      </c>
      <c r="L21" s="9" t="s">
        <v>826</v>
      </c>
      <c r="M21" s="4" t="s">
        <v>255</v>
      </c>
      <c r="N21" s="6"/>
      <c r="P21" s="6"/>
      <c r="Q21" s="6"/>
      <c r="R21" s="6"/>
      <c r="S21" s="116"/>
      <c r="T21" s="116"/>
      <c r="W21" s="3">
        <v>31.690140845070399</v>
      </c>
      <c r="X21" s="117">
        <v>0.9</v>
      </c>
      <c r="Y21" s="13"/>
      <c r="Z21" s="6"/>
      <c r="AA21" s="6">
        <v>0.12</v>
      </c>
      <c r="AB21" s="6"/>
      <c r="AC21" s="6">
        <v>2.8</v>
      </c>
      <c r="AD21" s="6">
        <v>-24.4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BI21" s="7"/>
      <c r="BJ21" s="7"/>
      <c r="BK21" s="7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</row>
    <row r="22" spans="1:74" x14ac:dyDescent="0.2">
      <c r="A22" s="3" t="s">
        <v>810</v>
      </c>
      <c r="B22" s="10" t="s">
        <v>817</v>
      </c>
      <c r="C22" s="10" t="s">
        <v>817</v>
      </c>
      <c r="D22" s="10" t="s">
        <v>825</v>
      </c>
      <c r="E22" s="10" t="s">
        <v>852</v>
      </c>
      <c r="F22" s="10" t="s">
        <v>834</v>
      </c>
      <c r="G22" s="9" t="s">
        <v>920</v>
      </c>
      <c r="H22" s="10" t="s">
        <v>296</v>
      </c>
      <c r="I22" s="9" t="s">
        <v>915</v>
      </c>
      <c r="J22" s="10" t="s">
        <v>176</v>
      </c>
      <c r="K22" s="10">
        <v>0</v>
      </c>
      <c r="L22" s="10">
        <v>2.1</v>
      </c>
      <c r="M22" s="4" t="s">
        <v>255</v>
      </c>
      <c r="P22" s="3" t="s">
        <v>916</v>
      </c>
      <c r="W22" s="3">
        <v>20</v>
      </c>
      <c r="X22" s="115">
        <v>19.600000000000001</v>
      </c>
      <c r="AA22" s="3">
        <v>1.2</v>
      </c>
      <c r="AC22" s="3">
        <v>4.3</v>
      </c>
      <c r="AD22" s="3">
        <v>-26.5</v>
      </c>
      <c r="AV22" s="3"/>
      <c r="AW22" s="3"/>
      <c r="AX22" s="3"/>
      <c r="BI22" s="7"/>
      <c r="BJ22" s="7"/>
      <c r="BK22" s="7"/>
    </row>
    <row r="23" spans="1:74" x14ac:dyDescent="0.2">
      <c r="A23" s="3" t="s">
        <v>810</v>
      </c>
      <c r="B23" s="10" t="s">
        <v>821</v>
      </c>
      <c r="C23" s="10" t="s">
        <v>821</v>
      </c>
      <c r="D23" s="10" t="s">
        <v>829</v>
      </c>
      <c r="E23" s="10" t="s">
        <v>853</v>
      </c>
      <c r="F23" s="10" t="s">
        <v>835</v>
      </c>
      <c r="G23" s="9" t="s">
        <v>920</v>
      </c>
      <c r="H23" s="10" t="s">
        <v>296</v>
      </c>
      <c r="I23" s="9" t="s">
        <v>915</v>
      </c>
      <c r="J23" s="10" t="s">
        <v>176</v>
      </c>
      <c r="K23" s="10">
        <v>0</v>
      </c>
      <c r="L23" s="10">
        <v>2.1</v>
      </c>
      <c r="M23" s="4" t="s">
        <v>255</v>
      </c>
      <c r="P23" s="3" t="s">
        <v>916</v>
      </c>
      <c r="W23" s="3">
        <v>10.3174603174603</v>
      </c>
      <c r="X23" s="115">
        <v>18.5</v>
      </c>
      <c r="AA23" s="3">
        <v>1.3</v>
      </c>
      <c r="AC23" s="3">
        <v>2.9</v>
      </c>
      <c r="AD23" s="3">
        <v>-26.4</v>
      </c>
      <c r="AE23" s="3" t="s">
        <v>828</v>
      </c>
      <c r="AH23" s="3">
        <v>-991</v>
      </c>
      <c r="AJ23" s="3">
        <v>2</v>
      </c>
      <c r="AV23" s="3"/>
      <c r="AW23" s="3"/>
      <c r="AX23" s="3"/>
      <c r="BI23" s="7"/>
      <c r="BJ23" s="7"/>
      <c r="BK23" s="7"/>
    </row>
    <row r="24" spans="1:74" x14ac:dyDescent="0.2">
      <c r="A24" s="3" t="s">
        <v>810</v>
      </c>
      <c r="B24" s="10" t="s">
        <v>822</v>
      </c>
      <c r="C24" s="10" t="s">
        <v>822</v>
      </c>
      <c r="D24" s="10" t="s">
        <v>830</v>
      </c>
      <c r="E24" s="10" t="s">
        <v>854</v>
      </c>
      <c r="F24" s="10" t="s">
        <v>836</v>
      </c>
      <c r="G24" s="9" t="s">
        <v>920</v>
      </c>
      <c r="H24" s="10" t="s">
        <v>296</v>
      </c>
      <c r="I24" s="9" t="s">
        <v>915</v>
      </c>
      <c r="J24" s="10" t="s">
        <v>176</v>
      </c>
      <c r="K24" s="10">
        <v>0</v>
      </c>
      <c r="L24" s="10">
        <v>2.1</v>
      </c>
      <c r="M24" s="4" t="s">
        <v>255</v>
      </c>
      <c r="P24" s="3" t="s">
        <v>916</v>
      </c>
      <c r="W24" s="3">
        <v>17.241379310344801</v>
      </c>
      <c r="X24" s="115">
        <v>20.5</v>
      </c>
      <c r="AA24" s="3">
        <v>1.3</v>
      </c>
      <c r="AC24" s="3">
        <v>2.1</v>
      </c>
      <c r="AD24" s="3">
        <v>-25.6</v>
      </c>
      <c r="AV24" s="3"/>
      <c r="AW24" s="3"/>
      <c r="AX24" s="3"/>
      <c r="BI24" s="7"/>
      <c r="BJ24" s="7"/>
      <c r="BK24" s="7"/>
    </row>
    <row r="25" spans="1:74" x14ac:dyDescent="0.2">
      <c r="A25" s="3" t="s">
        <v>810</v>
      </c>
      <c r="B25" s="10" t="s">
        <v>824</v>
      </c>
      <c r="C25" s="10" t="s">
        <v>824</v>
      </c>
      <c r="D25" s="10" t="s">
        <v>831</v>
      </c>
      <c r="E25" s="10" t="s">
        <v>855</v>
      </c>
      <c r="F25" s="10" t="s">
        <v>837</v>
      </c>
      <c r="G25" s="9" t="s">
        <v>920</v>
      </c>
      <c r="H25" s="10" t="s">
        <v>296</v>
      </c>
      <c r="I25" s="9" t="s">
        <v>915</v>
      </c>
      <c r="J25" s="10" t="s">
        <v>176</v>
      </c>
      <c r="K25" s="10">
        <v>0</v>
      </c>
      <c r="L25" s="10">
        <v>2.1</v>
      </c>
      <c r="M25" s="4" t="s">
        <v>255</v>
      </c>
      <c r="P25" s="3" t="s">
        <v>916</v>
      </c>
      <c r="W25" s="3">
        <v>19.402985074626901</v>
      </c>
      <c r="X25" s="115">
        <v>28.8</v>
      </c>
      <c r="AA25" s="3">
        <v>1.1000000000000001</v>
      </c>
      <c r="AC25" s="3">
        <v>3.7</v>
      </c>
      <c r="AD25" s="3">
        <v>-26</v>
      </c>
      <c r="AE25" s="3" t="s">
        <v>828</v>
      </c>
      <c r="AH25" s="3">
        <v>-552</v>
      </c>
      <c r="AJ25" s="3">
        <v>70</v>
      </c>
      <c r="AV25" s="3"/>
      <c r="AW25" s="3"/>
      <c r="AX25" s="3"/>
      <c r="BI25" s="7"/>
      <c r="BJ25" s="7"/>
      <c r="BK25" s="7"/>
    </row>
    <row r="26" spans="1:74" x14ac:dyDescent="0.2">
      <c r="A26" s="3" t="s">
        <v>810</v>
      </c>
      <c r="B26" s="10" t="s">
        <v>824</v>
      </c>
      <c r="C26" s="10" t="s">
        <v>824</v>
      </c>
      <c r="D26" s="10" t="s">
        <v>832</v>
      </c>
      <c r="E26" s="10" t="s">
        <v>856</v>
      </c>
      <c r="F26" s="10" t="s">
        <v>838</v>
      </c>
      <c r="G26" s="9" t="s">
        <v>920</v>
      </c>
      <c r="H26" s="10" t="s">
        <v>296</v>
      </c>
      <c r="I26" s="9" t="s">
        <v>915</v>
      </c>
      <c r="J26" s="10" t="s">
        <v>176</v>
      </c>
      <c r="K26" s="10">
        <v>0</v>
      </c>
      <c r="L26" s="10">
        <v>2.1</v>
      </c>
      <c r="M26" s="4" t="s">
        <v>255</v>
      </c>
      <c r="P26" s="3" t="s">
        <v>916</v>
      </c>
      <c r="W26" s="3">
        <v>54.187192118226598</v>
      </c>
      <c r="X26" s="115">
        <v>20.9</v>
      </c>
      <c r="AA26" s="3">
        <v>1.5</v>
      </c>
      <c r="AC26" s="3">
        <v>3.1</v>
      </c>
      <c r="AD26" s="3">
        <v>-25.2</v>
      </c>
      <c r="AE26" s="3" t="s">
        <v>828</v>
      </c>
      <c r="AH26" s="3">
        <v>-963</v>
      </c>
      <c r="AJ26" s="3">
        <v>8</v>
      </c>
      <c r="AV26" s="3"/>
      <c r="AW26" s="3"/>
      <c r="AX26" s="3"/>
      <c r="BI26" s="7"/>
      <c r="BJ26" s="7"/>
      <c r="BK26" s="7"/>
    </row>
    <row r="27" spans="1:74" x14ac:dyDescent="0.2">
      <c r="A27" s="3" t="s">
        <v>810</v>
      </c>
      <c r="B27" s="10" t="s">
        <v>824</v>
      </c>
      <c r="C27" s="10" t="s">
        <v>824</v>
      </c>
      <c r="D27" s="10" t="s">
        <v>833</v>
      </c>
      <c r="E27" s="10" t="s">
        <v>857</v>
      </c>
      <c r="F27" s="10" t="s">
        <v>839</v>
      </c>
      <c r="G27" s="9" t="s">
        <v>920</v>
      </c>
      <c r="H27" s="10" t="s">
        <v>296</v>
      </c>
      <c r="I27" s="9" t="s">
        <v>915</v>
      </c>
      <c r="J27" s="10" t="s">
        <v>176</v>
      </c>
      <c r="K27" s="10">
        <v>0</v>
      </c>
      <c r="L27" s="10">
        <v>2.1</v>
      </c>
      <c r="M27" s="4" t="s">
        <v>255</v>
      </c>
      <c r="P27" s="3" t="s">
        <v>916</v>
      </c>
      <c r="W27" s="3">
        <v>66.901408450704196</v>
      </c>
      <c r="X27" s="115">
        <v>20.8</v>
      </c>
      <c r="AA27" s="3">
        <v>1.5</v>
      </c>
      <c r="AC27" s="3">
        <v>1.7</v>
      </c>
      <c r="AD27" s="3">
        <v>-25.4</v>
      </c>
      <c r="AV27" s="3"/>
      <c r="AW27" s="3"/>
      <c r="AX27" s="3"/>
      <c r="BI27" s="7"/>
      <c r="BJ27" s="7"/>
      <c r="BK27" s="7"/>
    </row>
    <row r="28" spans="1:74" x14ac:dyDescent="0.2">
      <c r="M28" s="4"/>
    </row>
    <row r="29" spans="1:74" x14ac:dyDescent="0.2">
      <c r="M29" s="4"/>
    </row>
    <row r="30" spans="1:74" x14ac:dyDescent="0.2">
      <c r="M30" s="4"/>
    </row>
    <row r="31" spans="1:74" x14ac:dyDescent="0.2">
      <c r="M31" s="4"/>
    </row>
    <row r="32" spans="1:74" x14ac:dyDescent="0.2">
      <c r="M32" s="4"/>
    </row>
    <row r="33" spans="13:13" x14ac:dyDescent="0.2">
      <c r="M33" s="4"/>
    </row>
    <row r="34" spans="13:13" x14ac:dyDescent="0.2">
      <c r="M34" s="4"/>
    </row>
    <row r="35" spans="13:13" x14ac:dyDescent="0.2">
      <c r="M35" s="4"/>
    </row>
    <row r="36" spans="13:13" x14ac:dyDescent="0.2">
      <c r="M36" s="4"/>
    </row>
    <row r="37" spans="13:13" x14ac:dyDescent="0.2">
      <c r="M37" s="4"/>
    </row>
    <row r="38" spans="13:13" x14ac:dyDescent="0.2">
      <c r="M38" s="4"/>
    </row>
    <row r="39" spans="13:13" x14ac:dyDescent="0.2">
      <c r="M39" s="4"/>
    </row>
    <row r="40" spans="13:13" x14ac:dyDescent="0.2">
      <c r="M40" s="4"/>
    </row>
    <row r="41" spans="13:13" x14ac:dyDescent="0.2">
      <c r="M41" s="4"/>
    </row>
    <row r="42" spans="13:13" x14ac:dyDescent="0.2">
      <c r="M42" s="4"/>
    </row>
    <row r="43" spans="13:13" x14ac:dyDescent="0.2">
      <c r="M43" s="4"/>
    </row>
    <row r="44" spans="13:13" x14ac:dyDescent="0.2">
      <c r="M44" s="4"/>
    </row>
    <row r="45" spans="13:13" x14ac:dyDescent="0.2">
      <c r="M45" s="4"/>
    </row>
    <row r="46" spans="13:13" x14ac:dyDescent="0.2">
      <c r="M46" s="4"/>
    </row>
    <row r="47" spans="13:13" x14ac:dyDescent="0.2">
      <c r="M47" s="4"/>
    </row>
    <row r="48" spans="13:13" x14ac:dyDescent="0.2">
      <c r="M48" s="4"/>
    </row>
    <row r="49" spans="13:13" x14ac:dyDescent="0.2">
      <c r="M49" s="4"/>
    </row>
    <row r="50" spans="13:13" x14ac:dyDescent="0.2">
      <c r="M50" s="4"/>
    </row>
    <row r="51" spans="13:13" x14ac:dyDescent="0.2">
      <c r="M51" s="4"/>
    </row>
    <row r="52" spans="13:13" x14ac:dyDescent="0.2">
      <c r="M52" s="4"/>
    </row>
    <row r="53" spans="13:13" x14ac:dyDescent="0.2">
      <c r="M53" s="4"/>
    </row>
    <row r="54" spans="13:13" x14ac:dyDescent="0.2">
      <c r="M54" s="4"/>
    </row>
    <row r="55" spans="13:13" x14ac:dyDescent="0.2">
      <c r="M55" s="4"/>
    </row>
    <row r="56" spans="13:13" x14ac:dyDescent="0.2">
      <c r="M56" s="4"/>
    </row>
    <row r="57" spans="13:13" x14ac:dyDescent="0.2">
      <c r="M57" s="4"/>
    </row>
    <row r="58" spans="13:13" x14ac:dyDescent="0.2">
      <c r="M58" s="4"/>
    </row>
    <row r="59" spans="13:13" x14ac:dyDescent="0.2">
      <c r="M59" s="4"/>
    </row>
    <row r="60" spans="13:13" x14ac:dyDescent="0.2">
      <c r="M60" s="4"/>
    </row>
    <row r="61" spans="13:13" x14ac:dyDescent="0.2">
      <c r="M61" s="4"/>
    </row>
    <row r="62" spans="13:13" x14ac:dyDescent="0.2">
      <c r="M62" s="4"/>
    </row>
    <row r="63" spans="13:13" x14ac:dyDescent="0.2">
      <c r="M63" s="4"/>
    </row>
    <row r="64" spans="13:13" x14ac:dyDescent="0.2">
      <c r="M64" s="4"/>
    </row>
    <row r="65" spans="13:13" x14ac:dyDescent="0.2">
      <c r="M65" s="4"/>
    </row>
    <row r="66" spans="13:13" x14ac:dyDescent="0.2">
      <c r="M66" s="4"/>
    </row>
    <row r="67" spans="13:13" x14ac:dyDescent="0.2">
      <c r="M67" s="4"/>
    </row>
    <row r="68" spans="13:13" x14ac:dyDescent="0.2">
      <c r="M68" s="4"/>
    </row>
    <row r="69" spans="13:13" x14ac:dyDescent="0.2">
      <c r="M69" s="4"/>
    </row>
    <row r="70" spans="13:13" x14ac:dyDescent="0.2">
      <c r="M70" s="4"/>
    </row>
    <row r="71" spans="13:13" x14ac:dyDescent="0.2">
      <c r="M71" s="4"/>
    </row>
    <row r="72" spans="13:13" x14ac:dyDescent="0.2">
      <c r="M72" s="4"/>
    </row>
    <row r="73" spans="13:13" x14ac:dyDescent="0.2">
      <c r="M73" s="4"/>
    </row>
    <row r="74" spans="13:13" x14ac:dyDescent="0.2">
      <c r="M74" s="4"/>
    </row>
    <row r="75" spans="13:13" x14ac:dyDescent="0.2">
      <c r="M75" s="4"/>
    </row>
    <row r="76" spans="13:13" x14ac:dyDescent="0.2">
      <c r="M76" s="4"/>
    </row>
    <row r="77" spans="13:13" x14ac:dyDescent="0.2">
      <c r="M77" s="4"/>
    </row>
    <row r="78" spans="13:13" x14ac:dyDescent="0.2">
      <c r="M78" s="4"/>
    </row>
    <row r="79" spans="13:13" x14ac:dyDescent="0.2">
      <c r="M79" s="4"/>
    </row>
    <row r="80" spans="13:13" x14ac:dyDescent="0.2">
      <c r="M80" s="4"/>
    </row>
    <row r="81" spans="13:13" x14ac:dyDescent="0.2">
      <c r="M81" s="4"/>
    </row>
    <row r="82" spans="13:13" x14ac:dyDescent="0.2">
      <c r="M82" s="4"/>
    </row>
    <row r="83" spans="13:13" x14ac:dyDescent="0.2">
      <c r="M83" s="4"/>
    </row>
    <row r="84" spans="13:13" x14ac:dyDescent="0.2">
      <c r="M84" s="4"/>
    </row>
    <row r="85" spans="13:13" x14ac:dyDescent="0.2">
      <c r="M85" s="4"/>
    </row>
    <row r="86" spans="13:13" x14ac:dyDescent="0.2">
      <c r="M86" s="4"/>
    </row>
    <row r="87" spans="13:13" x14ac:dyDescent="0.2">
      <c r="M87" s="4"/>
    </row>
    <row r="88" spans="13:13" x14ac:dyDescent="0.2">
      <c r="M88" s="4"/>
    </row>
    <row r="89" spans="13:13" x14ac:dyDescent="0.2">
      <c r="M89" s="4"/>
    </row>
    <row r="90" spans="13:13" x14ac:dyDescent="0.2">
      <c r="M90" s="4"/>
    </row>
    <row r="91" spans="13:13" x14ac:dyDescent="0.2">
      <c r="M91" s="4"/>
    </row>
    <row r="92" spans="13:13" x14ac:dyDescent="0.2">
      <c r="M92" s="4"/>
    </row>
    <row r="93" spans="13:13" x14ac:dyDescent="0.2">
      <c r="M93" s="4"/>
    </row>
    <row r="94" spans="13:13" x14ac:dyDescent="0.2">
      <c r="M94" s="4"/>
    </row>
    <row r="95" spans="13:13" x14ac:dyDescent="0.2">
      <c r="M95" s="4"/>
    </row>
    <row r="96" spans="13:13" x14ac:dyDescent="0.2">
      <c r="M96" s="4"/>
    </row>
    <row r="97" spans="13:13" x14ac:dyDescent="0.2">
      <c r="M97" s="4"/>
    </row>
    <row r="98" spans="13:13" x14ac:dyDescent="0.2">
      <c r="M98" s="4"/>
    </row>
    <row r="99" spans="13:13" x14ac:dyDescent="0.2">
      <c r="M99" s="4"/>
    </row>
    <row r="100" spans="13:13" x14ac:dyDescent="0.2">
      <c r="M100" s="4"/>
    </row>
    <row r="101" spans="13:13" x14ac:dyDescent="0.2">
      <c r="M101" s="4"/>
    </row>
    <row r="102" spans="13:13" x14ac:dyDescent="0.2">
      <c r="M102" s="4"/>
    </row>
    <row r="103" spans="13:13" x14ac:dyDescent="0.2">
      <c r="M103" s="4"/>
    </row>
    <row r="104" spans="13:13" x14ac:dyDescent="0.2">
      <c r="M104" s="4"/>
    </row>
    <row r="105" spans="13:13" x14ac:dyDescent="0.2">
      <c r="M105" s="4"/>
    </row>
    <row r="106" spans="13:13" x14ac:dyDescent="0.2">
      <c r="M106" s="4"/>
    </row>
    <row r="107" spans="13:13" x14ac:dyDescent="0.2">
      <c r="M107" s="4"/>
    </row>
    <row r="108" spans="13:13" x14ac:dyDescent="0.2">
      <c r="M108" s="4"/>
    </row>
    <row r="109" spans="13:13" x14ac:dyDescent="0.2">
      <c r="M109" s="4"/>
    </row>
    <row r="110" spans="13:13" x14ac:dyDescent="0.2">
      <c r="M110" s="4"/>
    </row>
    <row r="111" spans="13:13" x14ac:dyDescent="0.2">
      <c r="M111" s="4"/>
    </row>
    <row r="112" spans="13:13" x14ac:dyDescent="0.2">
      <c r="M112" s="4"/>
    </row>
    <row r="113" spans="13:13" x14ac:dyDescent="0.2">
      <c r="M113" s="4"/>
    </row>
    <row r="114" spans="13:13" x14ac:dyDescent="0.2">
      <c r="M114" s="4"/>
    </row>
    <row r="115" spans="13:13" x14ac:dyDescent="0.2">
      <c r="M115" s="4"/>
    </row>
    <row r="116" spans="13:13" x14ac:dyDescent="0.2">
      <c r="M116" s="4"/>
    </row>
    <row r="117" spans="13:13" x14ac:dyDescent="0.2">
      <c r="M117" s="4"/>
    </row>
    <row r="118" spans="13:13" x14ac:dyDescent="0.2">
      <c r="M118" s="4"/>
    </row>
    <row r="119" spans="13:13" x14ac:dyDescent="0.2">
      <c r="M119" s="4"/>
    </row>
    <row r="120" spans="13:13" x14ac:dyDescent="0.2">
      <c r="M120" s="4"/>
    </row>
    <row r="121" spans="13:13" x14ac:dyDescent="0.2">
      <c r="M121" s="4"/>
    </row>
    <row r="122" spans="13:13" x14ac:dyDescent="0.2">
      <c r="M122" s="4"/>
    </row>
    <row r="123" spans="13:13" x14ac:dyDescent="0.2">
      <c r="M123" s="4"/>
    </row>
    <row r="124" spans="13:13" x14ac:dyDescent="0.2">
      <c r="M124" s="4"/>
    </row>
    <row r="125" spans="13:13" x14ac:dyDescent="0.2">
      <c r="M125" s="4"/>
    </row>
    <row r="126" spans="13:13" x14ac:dyDescent="0.2">
      <c r="M126" s="4"/>
    </row>
    <row r="127" spans="13:13" x14ac:dyDescent="0.2">
      <c r="M127" s="4"/>
    </row>
    <row r="128" spans="13:13" x14ac:dyDescent="0.2">
      <c r="M128" s="4"/>
    </row>
    <row r="129" spans="13:13" x14ac:dyDescent="0.2">
      <c r="M129" s="4"/>
    </row>
    <row r="130" spans="13:13" x14ac:dyDescent="0.2">
      <c r="M130" s="4"/>
    </row>
    <row r="131" spans="13:13" x14ac:dyDescent="0.2">
      <c r="M131" s="4"/>
    </row>
    <row r="132" spans="13:13" x14ac:dyDescent="0.2">
      <c r="M132" s="4"/>
    </row>
    <row r="133" spans="13:13" x14ac:dyDescent="0.2">
      <c r="M133" s="4"/>
    </row>
    <row r="134" spans="13:13" x14ac:dyDescent="0.2">
      <c r="M134" s="4"/>
    </row>
    <row r="135" spans="13:13" x14ac:dyDescent="0.2">
      <c r="M135" s="4"/>
    </row>
    <row r="136" spans="13:13" x14ac:dyDescent="0.2">
      <c r="M136" s="4"/>
    </row>
    <row r="137" spans="13:13" x14ac:dyDescent="0.2">
      <c r="M137" s="4"/>
    </row>
    <row r="138" spans="13:13" x14ac:dyDescent="0.2">
      <c r="M138" s="4"/>
    </row>
    <row r="139" spans="13:13" x14ac:dyDescent="0.2">
      <c r="M139" s="4"/>
    </row>
    <row r="140" spans="13:13" x14ac:dyDescent="0.2">
      <c r="M140" s="4"/>
    </row>
    <row r="141" spans="13:13" x14ac:dyDescent="0.2">
      <c r="M141" s="4"/>
    </row>
    <row r="142" spans="13:13" x14ac:dyDescent="0.2">
      <c r="M142" s="4"/>
    </row>
    <row r="143" spans="13:13" x14ac:dyDescent="0.2">
      <c r="M143" s="4"/>
    </row>
    <row r="144" spans="13:13" x14ac:dyDescent="0.2">
      <c r="M144" s="4"/>
    </row>
    <row r="145" spans="13:13" x14ac:dyDescent="0.2">
      <c r="M145" s="4"/>
    </row>
    <row r="146" spans="13:13" x14ac:dyDescent="0.2">
      <c r="M146" s="4"/>
    </row>
    <row r="147" spans="13:13" x14ac:dyDescent="0.2">
      <c r="M147" s="4"/>
    </row>
    <row r="148" spans="13:13" x14ac:dyDescent="0.2">
      <c r="M148" s="4"/>
    </row>
    <row r="149" spans="13:13" x14ac:dyDescent="0.2">
      <c r="M149" s="4"/>
    </row>
    <row r="150" spans="13:13" x14ac:dyDescent="0.2">
      <c r="M150" s="4"/>
    </row>
    <row r="151" spans="13:13" x14ac:dyDescent="0.2">
      <c r="M151" s="4"/>
    </row>
    <row r="152" spans="13:13" x14ac:dyDescent="0.2">
      <c r="M152" s="4"/>
    </row>
    <row r="153" spans="13:13" x14ac:dyDescent="0.2">
      <c r="M153" s="4"/>
    </row>
    <row r="154" spans="13:13" x14ac:dyDescent="0.2">
      <c r="M154" s="4"/>
    </row>
    <row r="155" spans="13:13" x14ac:dyDescent="0.2">
      <c r="M155" s="4"/>
    </row>
    <row r="156" spans="13:13" x14ac:dyDescent="0.2">
      <c r="M156" s="4"/>
    </row>
    <row r="157" spans="13:13" x14ac:dyDescent="0.2">
      <c r="M157" s="4"/>
    </row>
    <row r="158" spans="13:13" x14ac:dyDescent="0.2">
      <c r="M158" s="4"/>
    </row>
    <row r="159" spans="13:13" x14ac:dyDescent="0.2">
      <c r="M159" s="4"/>
    </row>
    <row r="160" spans="13:13" x14ac:dyDescent="0.2">
      <c r="M160" s="4"/>
    </row>
    <row r="161" spans="13:13" x14ac:dyDescent="0.2">
      <c r="M161" s="4"/>
    </row>
    <row r="162" spans="13:13" x14ac:dyDescent="0.2">
      <c r="M162" s="4"/>
    </row>
    <row r="163" spans="13:13" x14ac:dyDescent="0.2">
      <c r="M163" s="4"/>
    </row>
    <row r="164" spans="13:13" x14ac:dyDescent="0.2">
      <c r="M164" s="4"/>
    </row>
    <row r="165" spans="13:13" x14ac:dyDescent="0.2">
      <c r="M165" s="4"/>
    </row>
    <row r="166" spans="13:13" x14ac:dyDescent="0.2">
      <c r="M166" s="4"/>
    </row>
    <row r="167" spans="13:13" x14ac:dyDescent="0.2">
      <c r="M167" s="4"/>
    </row>
    <row r="168" spans="13:13" x14ac:dyDescent="0.2">
      <c r="M168" s="4"/>
    </row>
    <row r="169" spans="13:13" x14ac:dyDescent="0.2">
      <c r="M169" s="4"/>
    </row>
    <row r="170" spans="13:13" x14ac:dyDescent="0.2">
      <c r="M170" s="4"/>
    </row>
    <row r="171" spans="13:13" x14ac:dyDescent="0.2">
      <c r="M171" s="4"/>
    </row>
    <row r="172" spans="13:13" x14ac:dyDescent="0.2">
      <c r="M172" s="4"/>
    </row>
    <row r="173" spans="13:13" x14ac:dyDescent="0.2">
      <c r="M173" s="4"/>
    </row>
    <row r="174" spans="13:13" x14ac:dyDescent="0.2">
      <c r="M174" s="4"/>
    </row>
    <row r="175" spans="13:13" x14ac:dyDescent="0.2">
      <c r="M175" s="4"/>
    </row>
    <row r="176" spans="13:13" x14ac:dyDescent="0.2">
      <c r="M176" s="4"/>
    </row>
    <row r="177" spans="13:13" x14ac:dyDescent="0.2">
      <c r="M177" s="4"/>
    </row>
    <row r="178" spans="13:13" x14ac:dyDescent="0.2">
      <c r="M178" s="4"/>
    </row>
    <row r="179" spans="13:13" x14ac:dyDescent="0.2">
      <c r="M179" s="4"/>
    </row>
    <row r="180" spans="13:13" x14ac:dyDescent="0.2">
      <c r="M180" s="4"/>
    </row>
    <row r="181" spans="13:13" x14ac:dyDescent="0.2">
      <c r="M181" s="4"/>
    </row>
    <row r="182" spans="13:13" x14ac:dyDescent="0.2">
      <c r="M182" s="4"/>
    </row>
    <row r="183" spans="13:13" x14ac:dyDescent="0.2">
      <c r="M183" s="4"/>
    </row>
    <row r="184" spans="13:13" x14ac:dyDescent="0.2">
      <c r="M184" s="4"/>
    </row>
    <row r="185" spans="13:13" x14ac:dyDescent="0.2">
      <c r="M185" s="4"/>
    </row>
    <row r="186" spans="13:13" x14ac:dyDescent="0.2">
      <c r="M186" s="4"/>
    </row>
    <row r="187" spans="13:13" x14ac:dyDescent="0.2">
      <c r="M187" s="4"/>
    </row>
    <row r="188" spans="13:13" x14ac:dyDescent="0.2">
      <c r="M188" s="4"/>
    </row>
    <row r="189" spans="13:13" x14ac:dyDescent="0.2">
      <c r="M189" s="4"/>
    </row>
    <row r="190" spans="13:13" x14ac:dyDescent="0.2">
      <c r="M190" s="4"/>
    </row>
    <row r="191" spans="13:13" x14ac:dyDescent="0.2">
      <c r="M191" s="4"/>
    </row>
    <row r="192" spans="13:13" x14ac:dyDescent="0.2">
      <c r="M192" s="4"/>
    </row>
    <row r="193" spans="13:13" x14ac:dyDescent="0.2">
      <c r="M193" s="4"/>
    </row>
    <row r="194" spans="13:13" x14ac:dyDescent="0.2">
      <c r="M194" s="4"/>
    </row>
    <row r="195" spans="13:13" x14ac:dyDescent="0.2">
      <c r="M195" s="4"/>
    </row>
    <row r="196" spans="13:13" x14ac:dyDescent="0.2">
      <c r="M196" s="4"/>
    </row>
    <row r="197" spans="13:13" x14ac:dyDescent="0.2">
      <c r="M197" s="4"/>
    </row>
    <row r="198" spans="13:13" x14ac:dyDescent="0.2">
      <c r="M198" s="4"/>
    </row>
    <row r="199" spans="13:13" x14ac:dyDescent="0.2">
      <c r="M199" s="4"/>
    </row>
    <row r="200" spans="13:13" x14ac:dyDescent="0.2">
      <c r="M200" s="4"/>
    </row>
    <row r="201" spans="13:13" x14ac:dyDescent="0.2">
      <c r="M201" s="4"/>
    </row>
    <row r="202" spans="13:13" x14ac:dyDescent="0.2">
      <c r="M202" s="4"/>
    </row>
    <row r="203" spans="13:13" x14ac:dyDescent="0.2">
      <c r="M203" s="4"/>
    </row>
    <row r="204" spans="13:13" x14ac:dyDescent="0.2">
      <c r="M204" s="4"/>
    </row>
    <row r="205" spans="13:13" x14ac:dyDescent="0.2">
      <c r="M205" s="4"/>
    </row>
    <row r="206" spans="13:13" x14ac:dyDescent="0.2">
      <c r="M206" s="4"/>
    </row>
    <row r="207" spans="13:13" x14ac:dyDescent="0.2">
      <c r="M207" s="4"/>
    </row>
    <row r="208" spans="13:13" x14ac:dyDescent="0.2">
      <c r="M208" s="4"/>
    </row>
    <row r="209" spans="13:13" x14ac:dyDescent="0.2">
      <c r="M209" s="4"/>
    </row>
    <row r="210" spans="13:13" x14ac:dyDescent="0.2">
      <c r="M210" s="4"/>
    </row>
    <row r="211" spans="13:13" x14ac:dyDescent="0.2">
      <c r="M211" s="4"/>
    </row>
    <row r="212" spans="13:13" x14ac:dyDescent="0.2">
      <c r="M212" s="4"/>
    </row>
    <row r="213" spans="13:13" x14ac:dyDescent="0.2">
      <c r="M213" s="4"/>
    </row>
    <row r="214" spans="13:13" x14ac:dyDescent="0.2">
      <c r="M214" s="4"/>
    </row>
    <row r="215" spans="13:13" x14ac:dyDescent="0.2">
      <c r="M215" s="4"/>
    </row>
    <row r="216" spans="13:13" x14ac:dyDescent="0.2">
      <c r="M216" s="4"/>
    </row>
    <row r="217" spans="13:13" x14ac:dyDescent="0.2">
      <c r="M217" s="4"/>
    </row>
    <row r="218" spans="13:13" x14ac:dyDescent="0.2">
      <c r="M218" s="4"/>
    </row>
    <row r="219" spans="13:13" x14ac:dyDescent="0.2">
      <c r="M219" s="4"/>
    </row>
    <row r="220" spans="13:13" x14ac:dyDescent="0.2">
      <c r="M220" s="4"/>
    </row>
    <row r="221" spans="13:13" x14ac:dyDescent="0.2">
      <c r="M221" s="4"/>
    </row>
    <row r="222" spans="13:13" x14ac:dyDescent="0.2">
      <c r="M222" s="4"/>
    </row>
    <row r="223" spans="13:13" x14ac:dyDescent="0.2">
      <c r="M223" s="4"/>
    </row>
    <row r="224" spans="13:13" x14ac:dyDescent="0.2">
      <c r="M224" s="4"/>
    </row>
    <row r="225" spans="13:13" x14ac:dyDescent="0.2">
      <c r="M225" s="4"/>
    </row>
    <row r="226" spans="13:13" x14ac:dyDescent="0.2">
      <c r="M226" s="4"/>
    </row>
    <row r="227" spans="13:13" x14ac:dyDescent="0.2">
      <c r="M227" s="4"/>
    </row>
    <row r="228" spans="13:13" x14ac:dyDescent="0.2">
      <c r="M228" s="4"/>
    </row>
    <row r="229" spans="13:13" x14ac:dyDescent="0.2">
      <c r="M229" s="4"/>
    </row>
    <row r="230" spans="13:13" x14ac:dyDescent="0.2">
      <c r="M230" s="4"/>
    </row>
    <row r="231" spans="13:13" x14ac:dyDescent="0.2">
      <c r="M231" s="4"/>
    </row>
    <row r="232" spans="13:13" x14ac:dyDescent="0.2">
      <c r="M232" s="4"/>
    </row>
    <row r="233" spans="13:13" x14ac:dyDescent="0.2">
      <c r="M233" s="4"/>
    </row>
    <row r="234" spans="13:13" x14ac:dyDescent="0.2">
      <c r="M234" s="4"/>
    </row>
    <row r="235" spans="13:13" x14ac:dyDescent="0.2">
      <c r="M235" s="4"/>
    </row>
    <row r="236" spans="13:13" x14ac:dyDescent="0.2">
      <c r="M236" s="4"/>
    </row>
    <row r="237" spans="13:13" x14ac:dyDescent="0.2">
      <c r="M237" s="4"/>
    </row>
    <row r="238" spans="13:13" x14ac:dyDescent="0.2">
      <c r="M238" s="4"/>
    </row>
    <row r="239" spans="13:13" x14ac:dyDescent="0.2">
      <c r="M239" s="4"/>
    </row>
    <row r="240" spans="13:13" x14ac:dyDescent="0.2">
      <c r="M240" s="4"/>
    </row>
    <row r="241" spans="13:13" x14ac:dyDescent="0.2">
      <c r="M241" s="4"/>
    </row>
    <row r="242" spans="13:13" x14ac:dyDescent="0.2">
      <c r="M242" s="4"/>
    </row>
    <row r="243" spans="13:13" x14ac:dyDescent="0.2">
      <c r="M243" s="4"/>
    </row>
    <row r="244" spans="13:13" x14ac:dyDescent="0.2">
      <c r="M244" s="4"/>
    </row>
    <row r="245" spans="13:13" x14ac:dyDescent="0.2">
      <c r="M245" s="4"/>
    </row>
    <row r="246" spans="13:13" x14ac:dyDescent="0.2">
      <c r="M246" s="4"/>
    </row>
    <row r="247" spans="13:13" x14ac:dyDescent="0.2">
      <c r="M247" s="4"/>
    </row>
    <row r="248" spans="13:13" x14ac:dyDescent="0.2">
      <c r="M248" s="4"/>
    </row>
    <row r="249" spans="13:13" x14ac:dyDescent="0.2">
      <c r="M249" s="4"/>
    </row>
    <row r="250" spans="13:13" x14ac:dyDescent="0.2">
      <c r="M250" s="4"/>
    </row>
    <row r="251" spans="13:13" x14ac:dyDescent="0.2">
      <c r="M251" s="4"/>
    </row>
    <row r="252" spans="13:13" x14ac:dyDescent="0.2">
      <c r="M252" s="4"/>
    </row>
    <row r="253" spans="13:13" x14ac:dyDescent="0.2">
      <c r="M253" s="4"/>
    </row>
    <row r="254" spans="13:13" x14ac:dyDescent="0.2">
      <c r="M254" s="4"/>
    </row>
    <row r="255" spans="13:13" x14ac:dyDescent="0.2">
      <c r="M255" s="4"/>
    </row>
    <row r="256" spans="13:13" x14ac:dyDescent="0.2">
      <c r="M256" s="4"/>
    </row>
    <row r="257" spans="13:13" x14ac:dyDescent="0.2">
      <c r="M257" s="4"/>
    </row>
    <row r="258" spans="13:13" x14ac:dyDescent="0.2">
      <c r="M258" s="4"/>
    </row>
    <row r="259" spans="13:13" x14ac:dyDescent="0.2">
      <c r="M259" s="4"/>
    </row>
    <row r="260" spans="13:13" x14ac:dyDescent="0.2">
      <c r="M260" s="4"/>
    </row>
    <row r="261" spans="13:13" x14ac:dyDescent="0.2">
      <c r="M261" s="4"/>
    </row>
    <row r="262" spans="13:13" x14ac:dyDescent="0.2">
      <c r="M262" s="4"/>
    </row>
    <row r="263" spans="13:13" x14ac:dyDescent="0.2">
      <c r="M263" s="4"/>
    </row>
    <row r="264" spans="13:13" x14ac:dyDescent="0.2">
      <c r="M264" s="4"/>
    </row>
    <row r="265" spans="13:13" x14ac:dyDescent="0.2">
      <c r="M265" s="4"/>
    </row>
    <row r="266" spans="13:13" x14ac:dyDescent="0.2">
      <c r="M266" s="4"/>
    </row>
    <row r="267" spans="13:13" x14ac:dyDescent="0.2">
      <c r="M267" s="4"/>
    </row>
    <row r="268" spans="13:13" x14ac:dyDescent="0.2">
      <c r="M268" s="4"/>
    </row>
    <row r="269" spans="13:13" x14ac:dyDescent="0.2">
      <c r="M269" s="4"/>
    </row>
    <row r="270" spans="13:13" x14ac:dyDescent="0.2">
      <c r="M270" s="4"/>
    </row>
    <row r="271" spans="13:13" x14ac:dyDescent="0.2">
      <c r="M271" s="4"/>
    </row>
    <row r="272" spans="13:13" x14ac:dyDescent="0.2">
      <c r="M272" s="4"/>
    </row>
    <row r="273" spans="13:13" x14ac:dyDescent="0.2">
      <c r="M273" s="4"/>
    </row>
    <row r="274" spans="13:13" x14ac:dyDescent="0.2">
      <c r="M274" s="4"/>
    </row>
    <row r="275" spans="13:13" x14ac:dyDescent="0.2">
      <c r="M275" s="4"/>
    </row>
    <row r="276" spans="13:13" x14ac:dyDescent="0.2"/>
    <row r="277" spans="13:13" x14ac:dyDescent="0.2"/>
    <row r="278" spans="13:13" x14ac:dyDescent="0.2"/>
    <row r="279" spans="13:13" x14ac:dyDescent="0.2"/>
    <row r="280" spans="13:13" x14ac:dyDescent="0.2"/>
    <row r="281" spans="13:13" x14ac:dyDescent="0.2"/>
    <row r="282" spans="13:13" x14ac:dyDescent="0.2"/>
    <row r="283" spans="13:13" x14ac:dyDescent="0.2"/>
    <row r="284" spans="13:13" x14ac:dyDescent="0.2"/>
    <row r="285" spans="13:13" x14ac:dyDescent="0.2"/>
    <row r="286" spans="13:13" x14ac:dyDescent="0.2"/>
    <row r="287" spans="13:13" x14ac:dyDescent="0.2"/>
    <row r="288" spans="13:13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honeticPr fontId="24" type="noConversion"/>
  <dataValidations count="1">
    <dataValidation type="list" allowBlank="1" showInputMessage="1" showErrorMessage="1" sqref="AQ4:AQ27" xr:uid="{00000000-0002-0000-0600-000000000000}">
      <formula1>$AU$4:$AU$8</formula1>
    </dataValidation>
  </dataValidations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600-000001000000}">
          <x14:formula1>
            <xm:f>'controlled vocabulary'!$AT$4:$AT$10</xm:f>
          </x14:formula1>
          <xm:sqref>J4:J1048576</xm:sqref>
        </x14:dataValidation>
        <x14:dataValidation type="list" allowBlank="1" showInputMessage="1" showErrorMessage="1" xr:uid="{00000000-0002-0000-0600-000002000000}">
          <x14:formula1>
            <xm:f>OFFSET(site!$B$1,3,0,COUNTA(site!$B:$B)-2,1)</xm:f>
          </x14:formula1>
          <xm:sqref>B28:B1048576</xm:sqref>
        </x14:dataValidation>
        <x14:dataValidation type="list" allowBlank="1" showInputMessage="1" showErrorMessage="1" xr:uid="{00000000-0002-0000-0600-000003000000}">
          <x14:formula1>
            <xm:f>OFFSET(layer!$D$1,3,0,COUNTA(layer!$D:$D)-2,1)</xm:f>
          </x14:formula1>
          <xm:sqref>D4:D1048576</xm:sqref>
        </x14:dataValidation>
        <x14:dataValidation type="list" allowBlank="1" showInputMessage="1" showErrorMessage="1" xr:uid="{00000000-0002-0000-0600-000004000000}">
          <x14:formula1>
            <xm:f>'controlled vocabulary'!$AV$4:$AV$8</xm:f>
          </x14:formula1>
          <xm:sqref>AN28:AN1048576</xm:sqref>
        </x14:dataValidation>
        <x14:dataValidation type="list" allowBlank="1" showInputMessage="1" showErrorMessage="1" xr:uid="{00000000-0002-0000-0600-000005000000}">
          <x14:formula1>
            <xm:f>OFFSET(profile!$D$1,3,0,COUNTA(profile!$D:$D)-2,1)</xm:f>
          </x14:formula1>
          <xm:sqref>C4:C1048576 B4:B27</xm:sqref>
        </x14:dataValidation>
        <x14:dataValidation type="list" allowBlank="1" showInputMessage="1" showErrorMessage="1" xr:uid="{00000000-0002-0000-0600-000006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00"/>
  <sheetViews>
    <sheetView topLeftCell="J1" workbookViewId="0">
      <selection activeCell="Q19" sqref="Q19"/>
    </sheetView>
  </sheetViews>
  <sheetFormatPr baseColWidth="10" defaultColWidth="8.83203125" defaultRowHeight="15" x14ac:dyDescent="0.2"/>
  <cols>
    <col min="1" max="1" width="14.5" style="3" customWidth="1"/>
    <col min="2" max="2" width="11.5" style="3" bestFit="1" customWidth="1"/>
    <col min="3" max="3" width="14.5" bestFit="1" customWidth="1"/>
    <col min="4" max="4" width="18.5" style="10" customWidth="1"/>
    <col min="5" max="5" width="13.5" style="3" bestFit="1" customWidth="1"/>
    <col min="6" max="6" width="13.5" style="3" customWidth="1"/>
    <col min="7" max="7" width="17" style="3" bestFit="1" customWidth="1"/>
    <col min="8" max="8" width="11" style="3" customWidth="1"/>
    <col min="9" max="9" width="10.5" style="115" bestFit="1" customWidth="1"/>
    <col min="10" max="10" width="11" style="115" customWidth="1"/>
    <col min="11" max="11" width="17.5" style="115" bestFit="1" customWidth="1"/>
    <col min="12" max="12" width="18" style="3" customWidth="1"/>
    <col min="13" max="13" width="15.5" style="3" customWidth="1"/>
    <col min="14" max="14" width="8.83203125" style="3"/>
    <col min="15" max="15" width="19.83203125" style="3" customWidth="1"/>
    <col min="16" max="16" width="15.5" style="3" customWidth="1"/>
    <col min="17" max="17" width="16.5" style="3" bestFit="1" customWidth="1"/>
    <col min="18" max="18" width="21.1640625" style="3" customWidth="1"/>
    <col min="19" max="19" width="12.5" style="3" customWidth="1"/>
    <col min="20" max="16384" width="8.83203125" style="3"/>
  </cols>
  <sheetData>
    <row r="1" spans="1:31" s="21" customFormat="1" ht="42" x14ac:dyDescent="0.2">
      <c r="A1" s="18" t="s">
        <v>673</v>
      </c>
      <c r="B1" s="18" t="s">
        <v>14</v>
      </c>
      <c r="C1" s="18" t="s">
        <v>462</v>
      </c>
      <c r="D1" s="18" t="s">
        <v>493</v>
      </c>
      <c r="E1" s="107" t="s">
        <v>585</v>
      </c>
      <c r="F1" s="107" t="s">
        <v>858</v>
      </c>
      <c r="G1" s="18" t="s">
        <v>402</v>
      </c>
      <c r="H1" s="24" t="s">
        <v>403</v>
      </c>
      <c r="I1" s="112" t="s">
        <v>733</v>
      </c>
      <c r="J1" s="112" t="s">
        <v>734</v>
      </c>
      <c r="K1" s="112" t="s">
        <v>732</v>
      </c>
      <c r="L1" s="97" t="s">
        <v>404</v>
      </c>
      <c r="M1" s="97" t="s">
        <v>405</v>
      </c>
      <c r="N1" s="97" t="s">
        <v>406</v>
      </c>
      <c r="O1" s="97" t="s">
        <v>407</v>
      </c>
      <c r="P1" s="97" t="s">
        <v>408</v>
      </c>
      <c r="Q1" s="97" t="s">
        <v>767</v>
      </c>
      <c r="R1" s="97" t="s">
        <v>409</v>
      </c>
      <c r="S1" s="97" t="s">
        <v>410</v>
      </c>
      <c r="T1" s="97" t="s">
        <v>760</v>
      </c>
      <c r="U1" s="67" t="s">
        <v>411</v>
      </c>
      <c r="V1" s="67" t="s">
        <v>704</v>
      </c>
      <c r="W1" s="67" t="s">
        <v>412</v>
      </c>
      <c r="X1" s="67" t="s">
        <v>413</v>
      </c>
      <c r="Y1" s="67" t="s">
        <v>414</v>
      </c>
      <c r="Z1" s="67" t="s">
        <v>415</v>
      </c>
      <c r="AA1" s="67" t="s">
        <v>416</v>
      </c>
      <c r="AB1" s="39" t="s">
        <v>417</v>
      </c>
      <c r="AC1" s="67" t="s">
        <v>418</v>
      </c>
      <c r="AD1" s="67" t="s">
        <v>419</v>
      </c>
      <c r="AE1" s="39" t="s">
        <v>420</v>
      </c>
    </row>
    <row r="2" spans="1:31" s="21" customFormat="1" ht="70.5" customHeight="1" x14ac:dyDescent="0.2">
      <c r="A2" s="22" t="s">
        <v>674</v>
      </c>
      <c r="B2" s="26" t="s">
        <v>16</v>
      </c>
      <c r="C2" s="26" t="s">
        <v>334</v>
      </c>
      <c r="D2" s="26" t="s">
        <v>364</v>
      </c>
      <c r="E2" s="22" t="s">
        <v>401</v>
      </c>
      <c r="F2" s="22"/>
      <c r="G2" s="22" t="s">
        <v>761</v>
      </c>
      <c r="H2" s="22" t="s">
        <v>60</v>
      </c>
      <c r="I2" s="113" t="s">
        <v>738</v>
      </c>
      <c r="J2" s="113" t="s">
        <v>739</v>
      </c>
      <c r="K2" s="113" t="s">
        <v>737</v>
      </c>
      <c r="L2" s="98" t="s">
        <v>428</v>
      </c>
      <c r="M2" s="55"/>
      <c r="N2" s="55"/>
      <c r="O2" s="55" t="s">
        <v>322</v>
      </c>
      <c r="P2" s="98" t="s">
        <v>727</v>
      </c>
      <c r="Q2" s="98" t="s">
        <v>768</v>
      </c>
      <c r="R2" s="98" t="s">
        <v>426</v>
      </c>
      <c r="S2" s="98" t="s">
        <v>427</v>
      </c>
      <c r="T2" s="98"/>
      <c r="U2" s="48" t="s">
        <v>425</v>
      </c>
      <c r="V2" s="48" t="s">
        <v>705</v>
      </c>
      <c r="W2" s="49" t="s">
        <v>86</v>
      </c>
      <c r="X2" s="49" t="s">
        <v>87</v>
      </c>
      <c r="Y2" s="49" t="s">
        <v>88</v>
      </c>
      <c r="Z2" s="49" t="s">
        <v>329</v>
      </c>
      <c r="AA2" s="48" t="s">
        <v>424</v>
      </c>
      <c r="AB2" s="48" t="s">
        <v>423</v>
      </c>
      <c r="AC2" s="48" t="s">
        <v>328</v>
      </c>
      <c r="AD2" s="48" t="s">
        <v>422</v>
      </c>
      <c r="AE2" s="48" t="s">
        <v>421</v>
      </c>
    </row>
    <row r="3" spans="1:31" s="34" customFormat="1" ht="18" customHeight="1" x14ac:dyDescent="0.2">
      <c r="A3" s="28" t="s">
        <v>366</v>
      </c>
      <c r="B3" s="27"/>
      <c r="C3" s="71"/>
      <c r="D3" s="27"/>
      <c r="E3" s="28"/>
      <c r="F3" s="28"/>
      <c r="G3" s="28"/>
      <c r="H3" s="28"/>
      <c r="I3" s="114" t="s">
        <v>735</v>
      </c>
      <c r="J3" s="114" t="s">
        <v>34</v>
      </c>
      <c r="K3" s="114" t="s">
        <v>736</v>
      </c>
      <c r="L3" s="110" t="s">
        <v>299</v>
      </c>
      <c r="M3" s="111" t="s">
        <v>706</v>
      </c>
      <c r="N3" s="110" t="s">
        <v>321</v>
      </c>
      <c r="O3" s="110"/>
      <c r="P3" s="110"/>
      <c r="Q3" s="111" t="s">
        <v>769</v>
      </c>
      <c r="R3" s="110" t="s">
        <v>37</v>
      </c>
      <c r="S3" s="110"/>
      <c r="T3" s="110"/>
      <c r="U3" s="64" t="s">
        <v>131</v>
      </c>
      <c r="V3" s="64" t="s">
        <v>131</v>
      </c>
      <c r="W3" s="64"/>
      <c r="X3" s="64"/>
      <c r="Y3" s="64" t="s">
        <v>132</v>
      </c>
      <c r="Z3" s="64" t="s">
        <v>131</v>
      </c>
      <c r="AA3" s="64" t="s">
        <v>131</v>
      </c>
      <c r="AB3" s="60" t="s">
        <v>131</v>
      </c>
      <c r="AC3" s="64"/>
      <c r="AD3" s="64"/>
      <c r="AE3" s="60"/>
    </row>
    <row r="4" spans="1:31" x14ac:dyDescent="0.2">
      <c r="A4" s="14" t="s">
        <v>810</v>
      </c>
      <c r="B4" s="3" t="s">
        <v>817</v>
      </c>
      <c r="C4" s="3" t="s">
        <v>817</v>
      </c>
      <c r="D4" s="9" t="s">
        <v>825</v>
      </c>
      <c r="F4" s="3" t="str">
        <f>D4&amp;"_inc"</f>
        <v>S_1_inc</v>
      </c>
      <c r="G4" s="3" t="s">
        <v>762</v>
      </c>
      <c r="I4" s="115">
        <v>2001</v>
      </c>
      <c r="L4" s="3">
        <v>365</v>
      </c>
      <c r="M4" s="3" t="s">
        <v>317</v>
      </c>
      <c r="N4" s="3">
        <v>15</v>
      </c>
      <c r="O4" s="3" t="s">
        <v>312</v>
      </c>
      <c r="U4" s="3">
        <v>-30.1</v>
      </c>
      <c r="V4" s="3">
        <v>0.1</v>
      </c>
      <c r="W4" s="3" t="s">
        <v>828</v>
      </c>
      <c r="Z4" s="3">
        <v>-934</v>
      </c>
      <c r="AB4" s="3">
        <v>4</v>
      </c>
    </row>
    <row r="5" spans="1:31" x14ac:dyDescent="0.2">
      <c r="A5" s="14" t="s">
        <v>810</v>
      </c>
      <c r="B5" s="3" t="s">
        <v>821</v>
      </c>
      <c r="C5" s="3" t="s">
        <v>821</v>
      </c>
      <c r="D5" s="9" t="s">
        <v>829</v>
      </c>
      <c r="F5" s="3" t="str">
        <f t="shared" ref="F5:F9" si="0">D5&amp;"_inc"</f>
        <v>M_1_inc</v>
      </c>
      <c r="G5" s="3" t="s">
        <v>762</v>
      </c>
      <c r="I5" s="115">
        <v>2001</v>
      </c>
      <c r="L5" s="3">
        <v>365</v>
      </c>
      <c r="M5" s="3" t="s">
        <v>317</v>
      </c>
      <c r="N5" s="3">
        <v>15</v>
      </c>
      <c r="O5" s="3" t="s">
        <v>312</v>
      </c>
      <c r="U5" s="3">
        <v>-26.7</v>
      </c>
      <c r="V5" s="3">
        <v>0.1</v>
      </c>
      <c r="W5" s="3" t="s">
        <v>828</v>
      </c>
      <c r="Z5" s="3">
        <v>-951</v>
      </c>
      <c r="AB5" s="3">
        <v>3</v>
      </c>
    </row>
    <row r="6" spans="1:31" x14ac:dyDescent="0.2">
      <c r="A6" s="14" t="s">
        <v>810</v>
      </c>
      <c r="B6" s="3" t="s">
        <v>822</v>
      </c>
      <c r="C6" s="3" t="s">
        <v>822</v>
      </c>
      <c r="D6" s="9" t="s">
        <v>830</v>
      </c>
      <c r="F6" s="3" t="str">
        <f t="shared" si="0"/>
        <v>DY_1_inc</v>
      </c>
      <c r="G6" s="3" t="s">
        <v>762</v>
      </c>
      <c r="I6" s="115">
        <v>2001</v>
      </c>
      <c r="L6" s="3">
        <v>365</v>
      </c>
      <c r="M6" s="3" t="s">
        <v>317</v>
      </c>
      <c r="N6" s="3">
        <v>15</v>
      </c>
      <c r="O6" s="3" t="s">
        <v>312</v>
      </c>
      <c r="U6" s="3">
        <v>-28.8</v>
      </c>
      <c r="V6" s="3">
        <v>0.1</v>
      </c>
      <c r="W6" s="3" t="s">
        <v>828</v>
      </c>
      <c r="Z6" s="3">
        <v>-939</v>
      </c>
      <c r="AB6" s="3">
        <v>3</v>
      </c>
    </row>
    <row r="7" spans="1:31" x14ac:dyDescent="0.2">
      <c r="A7" s="14" t="s">
        <v>810</v>
      </c>
      <c r="B7" s="3" t="s">
        <v>824</v>
      </c>
      <c r="C7" s="3" t="s">
        <v>824</v>
      </c>
      <c r="D7" s="9" t="s">
        <v>831</v>
      </c>
      <c r="F7" s="3" t="str">
        <f t="shared" si="0"/>
        <v>ZM_1_inc</v>
      </c>
      <c r="G7" s="3" t="s">
        <v>762</v>
      </c>
      <c r="I7" s="115">
        <v>2001</v>
      </c>
      <c r="L7" s="3">
        <v>365</v>
      </c>
      <c r="M7" s="3" t="s">
        <v>317</v>
      </c>
      <c r="N7" s="3">
        <v>15</v>
      </c>
      <c r="O7" s="3" t="s">
        <v>312</v>
      </c>
      <c r="U7" s="3">
        <v>-29.8</v>
      </c>
      <c r="V7" s="3">
        <v>0.1</v>
      </c>
      <c r="W7" s="3" t="s">
        <v>828</v>
      </c>
      <c r="Z7" s="3">
        <v>35</v>
      </c>
      <c r="AB7" s="3">
        <v>15</v>
      </c>
    </row>
    <row r="8" spans="1:31" x14ac:dyDescent="0.2">
      <c r="A8" s="3" t="s">
        <v>810</v>
      </c>
      <c r="B8" s="3" t="s">
        <v>824</v>
      </c>
      <c r="C8" s="3" t="s">
        <v>824</v>
      </c>
      <c r="D8" s="10" t="s">
        <v>832</v>
      </c>
      <c r="F8" s="3" t="str">
        <f t="shared" si="0"/>
        <v>ZM_2_inc</v>
      </c>
      <c r="G8" s="3" t="s">
        <v>762</v>
      </c>
      <c r="I8" s="115">
        <v>2001</v>
      </c>
      <c r="L8" s="3">
        <v>365</v>
      </c>
      <c r="M8" s="3" t="s">
        <v>317</v>
      </c>
      <c r="N8" s="3">
        <v>15</v>
      </c>
      <c r="O8" s="3" t="s">
        <v>312</v>
      </c>
      <c r="U8" s="3">
        <v>-25.3</v>
      </c>
      <c r="V8" s="3">
        <v>0.3</v>
      </c>
      <c r="W8" s="3" t="s">
        <v>828</v>
      </c>
      <c r="Z8" s="3">
        <v>-923</v>
      </c>
      <c r="AB8" s="3">
        <v>10</v>
      </c>
    </row>
    <row r="9" spans="1:31" x14ac:dyDescent="0.2">
      <c r="A9" s="3" t="s">
        <v>810</v>
      </c>
      <c r="B9" s="3" t="s">
        <v>824</v>
      </c>
      <c r="C9" s="3" t="s">
        <v>824</v>
      </c>
      <c r="D9" s="10" t="s">
        <v>833</v>
      </c>
      <c r="F9" s="3" t="str">
        <f t="shared" si="0"/>
        <v>ZM_3_inc</v>
      </c>
      <c r="G9" s="3" t="s">
        <v>762</v>
      </c>
      <c r="I9" s="115">
        <v>2001</v>
      </c>
      <c r="L9" s="3">
        <v>365</v>
      </c>
      <c r="M9" s="3" t="s">
        <v>317</v>
      </c>
      <c r="N9" s="3">
        <v>15</v>
      </c>
      <c r="O9" s="3" t="s">
        <v>312</v>
      </c>
      <c r="U9" s="3">
        <v>-27.6</v>
      </c>
      <c r="V9" s="3">
        <v>0.5</v>
      </c>
      <c r="W9" s="3" t="s">
        <v>828</v>
      </c>
      <c r="Z9" s="3">
        <v>-948</v>
      </c>
      <c r="AB9" s="3">
        <v>3</v>
      </c>
    </row>
    <row r="10" spans="1:31" x14ac:dyDescent="0.2">
      <c r="B10" s="8"/>
      <c r="C10" s="3"/>
    </row>
    <row r="11" spans="1:31" x14ac:dyDescent="0.2">
      <c r="B11" s="8"/>
      <c r="C11" s="3"/>
    </row>
    <row r="12" spans="1:31" x14ac:dyDescent="0.2">
      <c r="B12" s="8"/>
      <c r="C12" s="3"/>
    </row>
    <row r="13" spans="1:31" x14ac:dyDescent="0.2">
      <c r="B13" s="8"/>
      <c r="C13" s="3"/>
    </row>
    <row r="14" spans="1:31" x14ac:dyDescent="0.2">
      <c r="B14" s="8"/>
      <c r="C14" s="3"/>
    </row>
    <row r="15" spans="1:31" x14ac:dyDescent="0.2">
      <c r="B15" s="8"/>
      <c r="C15" s="3"/>
    </row>
    <row r="16" spans="1:31" x14ac:dyDescent="0.2">
      <c r="B16" s="8"/>
      <c r="C16" s="3"/>
    </row>
    <row r="17" spans="2:3" x14ac:dyDescent="0.2">
      <c r="B17" s="8"/>
      <c r="C17" s="3"/>
    </row>
    <row r="18" spans="2:3" x14ac:dyDescent="0.2">
      <c r="B18" s="10"/>
      <c r="C18" s="3"/>
    </row>
    <row r="19" spans="2:3" x14ac:dyDescent="0.2">
      <c r="B19" s="10"/>
      <c r="C19" s="3"/>
    </row>
    <row r="20" spans="2:3" x14ac:dyDescent="0.2">
      <c r="B20" s="10"/>
      <c r="C20" s="3"/>
    </row>
    <row r="21" spans="2:3" x14ac:dyDescent="0.2">
      <c r="B21" s="10"/>
      <c r="C21" s="3"/>
    </row>
    <row r="22" spans="2:3" x14ac:dyDescent="0.2">
      <c r="B22" s="10"/>
      <c r="C22" s="3"/>
    </row>
    <row r="23" spans="2:3" x14ac:dyDescent="0.2">
      <c r="B23" s="10"/>
      <c r="C23" s="3"/>
    </row>
    <row r="24" spans="2:3" x14ac:dyDescent="0.2">
      <c r="B24" s="10"/>
      <c r="C24" s="3"/>
    </row>
    <row r="25" spans="2:3" x14ac:dyDescent="0.2">
      <c r="B25" s="10"/>
      <c r="C25" s="3"/>
    </row>
    <row r="26" spans="2:3" x14ac:dyDescent="0.2">
      <c r="B26" s="10"/>
      <c r="C26" s="3"/>
    </row>
    <row r="27" spans="2:3" x14ac:dyDescent="0.2">
      <c r="B27" s="10"/>
      <c r="C27" s="3"/>
    </row>
    <row r="28" spans="2:3" x14ac:dyDescent="0.2">
      <c r="B28" s="10"/>
      <c r="C28" s="3"/>
    </row>
    <row r="29" spans="2:3" x14ac:dyDescent="0.2">
      <c r="B29" s="10"/>
      <c r="C29" s="3"/>
    </row>
    <row r="30" spans="2:3" x14ac:dyDescent="0.2">
      <c r="B30" s="10"/>
      <c r="C30" s="3"/>
    </row>
    <row r="31" spans="2:3" x14ac:dyDescent="0.2">
      <c r="B31" s="10"/>
      <c r="C31" s="3"/>
    </row>
    <row r="32" spans="2:3" x14ac:dyDescent="0.2">
      <c r="B32" s="10"/>
      <c r="C32" s="3"/>
    </row>
    <row r="33" spans="2:3" x14ac:dyDescent="0.2">
      <c r="B33" s="10"/>
      <c r="C33" s="3"/>
    </row>
    <row r="34" spans="2:3" x14ac:dyDescent="0.2">
      <c r="B34" s="10"/>
      <c r="C34" s="3"/>
    </row>
    <row r="35" spans="2:3" x14ac:dyDescent="0.2">
      <c r="B35" s="10"/>
      <c r="C35" s="3"/>
    </row>
    <row r="36" spans="2:3" x14ac:dyDescent="0.2">
      <c r="B36" s="10"/>
      <c r="C36" s="3"/>
    </row>
    <row r="37" spans="2:3" x14ac:dyDescent="0.2">
      <c r="B37" s="10"/>
      <c r="C37" s="3"/>
    </row>
    <row r="38" spans="2:3" x14ac:dyDescent="0.2">
      <c r="B38" s="10"/>
      <c r="C38" s="3"/>
    </row>
    <row r="39" spans="2:3" x14ac:dyDescent="0.2">
      <c r="B39" s="10"/>
      <c r="C39" s="3"/>
    </row>
    <row r="40" spans="2:3" x14ac:dyDescent="0.2">
      <c r="B40" s="10"/>
      <c r="C40" s="3"/>
    </row>
    <row r="41" spans="2:3" x14ac:dyDescent="0.2">
      <c r="B41" s="10"/>
      <c r="C41" s="3"/>
    </row>
    <row r="42" spans="2:3" x14ac:dyDescent="0.2">
      <c r="B42" s="10"/>
      <c r="C42" s="3"/>
    </row>
    <row r="43" spans="2:3" x14ac:dyDescent="0.2">
      <c r="B43" s="10"/>
      <c r="C43" s="3"/>
    </row>
    <row r="44" spans="2:3" x14ac:dyDescent="0.2">
      <c r="B44" s="10"/>
      <c r="C44" s="3"/>
    </row>
    <row r="45" spans="2:3" x14ac:dyDescent="0.2">
      <c r="B45" s="10"/>
      <c r="C45" s="3"/>
    </row>
    <row r="46" spans="2:3" x14ac:dyDescent="0.2">
      <c r="B46" s="10"/>
      <c r="C46" s="3"/>
    </row>
    <row r="47" spans="2:3" x14ac:dyDescent="0.2">
      <c r="B47" s="10"/>
      <c r="C47" s="3"/>
    </row>
    <row r="48" spans="2:3" x14ac:dyDescent="0.2">
      <c r="B48" s="10"/>
      <c r="C48" s="3"/>
    </row>
    <row r="49" spans="2:3" x14ac:dyDescent="0.2">
      <c r="B49" s="10"/>
      <c r="C49" s="3"/>
    </row>
    <row r="50" spans="2:3" x14ac:dyDescent="0.2">
      <c r="B50" s="10"/>
      <c r="C50" s="3"/>
    </row>
    <row r="51" spans="2:3" x14ac:dyDescent="0.2">
      <c r="B51" s="10"/>
      <c r="C51" s="3"/>
    </row>
    <row r="52" spans="2:3" x14ac:dyDescent="0.2">
      <c r="B52" s="10"/>
      <c r="C52" s="3"/>
    </row>
    <row r="53" spans="2:3" x14ac:dyDescent="0.2">
      <c r="B53" s="10"/>
      <c r="C53" s="3"/>
    </row>
    <row r="54" spans="2:3" x14ac:dyDescent="0.2">
      <c r="B54" s="10"/>
      <c r="C54" s="3"/>
    </row>
    <row r="55" spans="2:3" x14ac:dyDescent="0.2">
      <c r="B55" s="10"/>
      <c r="C55" s="3"/>
    </row>
    <row r="56" spans="2:3" x14ac:dyDescent="0.2">
      <c r="B56" s="10"/>
      <c r="C56" s="3"/>
    </row>
    <row r="57" spans="2:3" x14ac:dyDescent="0.2">
      <c r="B57" s="10"/>
      <c r="C57" s="3"/>
    </row>
    <row r="58" spans="2:3" x14ac:dyDescent="0.2">
      <c r="B58" s="10"/>
      <c r="C58" s="3"/>
    </row>
    <row r="59" spans="2:3" x14ac:dyDescent="0.2">
      <c r="B59" s="10"/>
      <c r="C59" s="3"/>
    </row>
    <row r="60" spans="2:3" x14ac:dyDescent="0.2">
      <c r="B60" s="10"/>
      <c r="C60" s="3"/>
    </row>
    <row r="61" spans="2:3" x14ac:dyDescent="0.2">
      <c r="B61" s="10"/>
      <c r="C61" s="3"/>
    </row>
    <row r="62" spans="2:3" x14ac:dyDescent="0.2">
      <c r="B62" s="10"/>
      <c r="C62" s="3"/>
    </row>
    <row r="63" spans="2:3" x14ac:dyDescent="0.2">
      <c r="B63" s="10"/>
      <c r="C63" s="3"/>
    </row>
    <row r="64" spans="2:3" x14ac:dyDescent="0.2">
      <c r="B64" s="10"/>
    </row>
    <row r="65" spans="2:2" x14ac:dyDescent="0.2">
      <c r="B65" s="10"/>
    </row>
    <row r="66" spans="2:2" x14ac:dyDescent="0.2">
      <c r="B66" s="10"/>
    </row>
    <row r="67" spans="2:2" x14ac:dyDescent="0.2">
      <c r="B67" s="10"/>
    </row>
    <row r="68" spans="2:2" x14ac:dyDescent="0.2">
      <c r="B68" s="10"/>
    </row>
    <row r="69" spans="2:2" x14ac:dyDescent="0.2">
      <c r="B69" s="10"/>
    </row>
    <row r="70" spans="2:2" x14ac:dyDescent="0.2">
      <c r="B70" s="10"/>
    </row>
    <row r="71" spans="2:2" x14ac:dyDescent="0.2">
      <c r="B71" s="10"/>
    </row>
    <row r="72" spans="2:2" x14ac:dyDescent="0.2">
      <c r="B72" s="10"/>
    </row>
    <row r="73" spans="2:2" x14ac:dyDescent="0.2">
      <c r="B73" s="10"/>
    </row>
    <row r="74" spans="2:2" x14ac:dyDescent="0.2">
      <c r="B74" s="10"/>
    </row>
    <row r="75" spans="2:2" x14ac:dyDescent="0.2">
      <c r="B75" s="10"/>
    </row>
    <row r="76" spans="2:2" x14ac:dyDescent="0.2">
      <c r="B76" s="10"/>
    </row>
    <row r="77" spans="2:2" x14ac:dyDescent="0.2">
      <c r="B77" s="10"/>
    </row>
    <row r="78" spans="2:2" x14ac:dyDescent="0.2">
      <c r="B78" s="10"/>
    </row>
    <row r="79" spans="2:2" x14ac:dyDescent="0.2">
      <c r="B79" s="10"/>
    </row>
    <row r="80" spans="2:2" x14ac:dyDescent="0.2">
      <c r="B80" s="10"/>
    </row>
    <row r="81" spans="2:2" x14ac:dyDescent="0.2">
      <c r="B81" s="10"/>
    </row>
    <row r="82" spans="2:2" x14ac:dyDescent="0.2">
      <c r="B82" s="10"/>
    </row>
    <row r="83" spans="2:2" x14ac:dyDescent="0.2">
      <c r="B83" s="10"/>
    </row>
    <row r="84" spans="2:2" x14ac:dyDescent="0.2">
      <c r="B84" s="10"/>
    </row>
    <row r="85" spans="2:2" x14ac:dyDescent="0.2">
      <c r="B85" s="10"/>
    </row>
    <row r="86" spans="2:2" x14ac:dyDescent="0.2">
      <c r="B86" s="10"/>
    </row>
    <row r="87" spans="2:2" x14ac:dyDescent="0.2">
      <c r="B87" s="10"/>
    </row>
    <row r="88" spans="2:2" x14ac:dyDescent="0.2">
      <c r="B88" s="10"/>
    </row>
    <row r="89" spans="2:2" x14ac:dyDescent="0.2">
      <c r="B89" s="10"/>
    </row>
    <row r="90" spans="2:2" x14ac:dyDescent="0.2">
      <c r="B90" s="10"/>
    </row>
    <row r="91" spans="2:2" x14ac:dyDescent="0.2">
      <c r="B91" s="10"/>
    </row>
    <row r="92" spans="2:2" x14ac:dyDescent="0.2">
      <c r="B92" s="10"/>
    </row>
    <row r="93" spans="2:2" x14ac:dyDescent="0.2">
      <c r="B93" s="10"/>
    </row>
    <row r="94" spans="2:2" x14ac:dyDescent="0.2">
      <c r="B94" s="10"/>
    </row>
    <row r="95" spans="2:2" x14ac:dyDescent="0.2">
      <c r="B95" s="10"/>
    </row>
    <row r="96" spans="2:2" x14ac:dyDescent="0.2">
      <c r="B96" s="10"/>
    </row>
    <row r="97" spans="2:2" x14ac:dyDescent="0.2">
      <c r="B97" s="10"/>
    </row>
    <row r="98" spans="2:2" x14ac:dyDescent="0.2">
      <c r="B98" s="10"/>
    </row>
    <row r="99" spans="2:2" x14ac:dyDescent="0.2">
      <c r="B99" s="10"/>
    </row>
    <row r="100" spans="2:2" x14ac:dyDescent="0.2">
      <c r="B100" s="10"/>
    </row>
    <row r="101" spans="2:2" x14ac:dyDescent="0.2">
      <c r="B101" s="10"/>
    </row>
    <row r="102" spans="2:2" x14ac:dyDescent="0.2">
      <c r="B102" s="10"/>
    </row>
    <row r="103" spans="2:2" x14ac:dyDescent="0.2">
      <c r="B103" s="10"/>
    </row>
    <row r="104" spans="2:2" x14ac:dyDescent="0.2">
      <c r="B104" s="10"/>
    </row>
    <row r="105" spans="2:2" x14ac:dyDescent="0.2">
      <c r="B105" s="10"/>
    </row>
    <row r="106" spans="2:2" x14ac:dyDescent="0.2">
      <c r="B106" s="10"/>
    </row>
    <row r="107" spans="2:2" x14ac:dyDescent="0.2">
      <c r="B107" s="10"/>
    </row>
    <row r="108" spans="2:2" x14ac:dyDescent="0.2">
      <c r="B108" s="10"/>
    </row>
    <row r="109" spans="2:2" x14ac:dyDescent="0.2">
      <c r="B109" s="10"/>
    </row>
    <row r="110" spans="2:2" x14ac:dyDescent="0.2">
      <c r="B110" s="10"/>
    </row>
    <row r="111" spans="2:2" x14ac:dyDescent="0.2">
      <c r="B111" s="10"/>
    </row>
    <row r="112" spans="2:2" x14ac:dyDescent="0.2">
      <c r="B112" s="10"/>
    </row>
    <row r="113" spans="2:2" x14ac:dyDescent="0.2">
      <c r="B113" s="10"/>
    </row>
    <row r="114" spans="2:2" x14ac:dyDescent="0.2">
      <c r="B114" s="10"/>
    </row>
    <row r="115" spans="2:2" x14ac:dyDescent="0.2">
      <c r="B115" s="10"/>
    </row>
    <row r="116" spans="2:2" x14ac:dyDescent="0.2">
      <c r="B116" s="10"/>
    </row>
    <row r="117" spans="2:2" x14ac:dyDescent="0.2">
      <c r="B117" s="10"/>
    </row>
    <row r="118" spans="2:2" x14ac:dyDescent="0.2">
      <c r="B118" s="10"/>
    </row>
    <row r="119" spans="2:2" x14ac:dyDescent="0.2">
      <c r="B119" s="10"/>
    </row>
    <row r="120" spans="2:2" x14ac:dyDescent="0.2">
      <c r="B120" s="10"/>
    </row>
    <row r="121" spans="2:2" x14ac:dyDescent="0.2">
      <c r="B121" s="10"/>
    </row>
    <row r="122" spans="2:2" x14ac:dyDescent="0.2">
      <c r="B122" s="10"/>
    </row>
    <row r="123" spans="2:2" x14ac:dyDescent="0.2">
      <c r="B123" s="10"/>
    </row>
    <row r="124" spans="2:2" x14ac:dyDescent="0.2">
      <c r="B124" s="10"/>
    </row>
    <row r="125" spans="2:2" x14ac:dyDescent="0.2">
      <c r="B125" s="10"/>
    </row>
    <row r="126" spans="2:2" x14ac:dyDescent="0.2">
      <c r="B126" s="10"/>
    </row>
    <row r="127" spans="2:2" x14ac:dyDescent="0.2">
      <c r="B127" s="10"/>
    </row>
    <row r="128" spans="2:2" x14ac:dyDescent="0.2">
      <c r="B128" s="10"/>
    </row>
    <row r="129" spans="2:2" x14ac:dyDescent="0.2">
      <c r="B129" s="10"/>
    </row>
    <row r="130" spans="2:2" x14ac:dyDescent="0.2">
      <c r="B130" s="10"/>
    </row>
    <row r="131" spans="2:2" x14ac:dyDescent="0.2">
      <c r="B131" s="10"/>
    </row>
    <row r="132" spans="2:2" x14ac:dyDescent="0.2">
      <c r="B132" s="10"/>
    </row>
    <row r="133" spans="2:2" x14ac:dyDescent="0.2">
      <c r="B133" s="10"/>
    </row>
    <row r="134" spans="2:2" x14ac:dyDescent="0.2">
      <c r="B134" s="10"/>
    </row>
    <row r="135" spans="2:2" x14ac:dyDescent="0.2">
      <c r="B135" s="10"/>
    </row>
    <row r="136" spans="2:2" x14ac:dyDescent="0.2">
      <c r="B136" s="10"/>
    </row>
    <row r="137" spans="2:2" x14ac:dyDescent="0.2">
      <c r="B137" s="10"/>
    </row>
    <row r="138" spans="2:2" x14ac:dyDescent="0.2">
      <c r="B138" s="10"/>
    </row>
    <row r="139" spans="2:2" x14ac:dyDescent="0.2">
      <c r="B139" s="10"/>
    </row>
    <row r="140" spans="2:2" x14ac:dyDescent="0.2">
      <c r="B140" s="10"/>
    </row>
    <row r="141" spans="2:2" x14ac:dyDescent="0.2">
      <c r="B141" s="10"/>
    </row>
    <row r="142" spans="2:2" x14ac:dyDescent="0.2">
      <c r="B142" s="10"/>
    </row>
    <row r="143" spans="2:2" x14ac:dyDescent="0.2">
      <c r="B143" s="10"/>
    </row>
    <row r="144" spans="2:2" x14ac:dyDescent="0.2">
      <c r="B144" s="10"/>
    </row>
    <row r="145" spans="2:2" x14ac:dyDescent="0.2">
      <c r="B145" s="10"/>
    </row>
    <row r="146" spans="2:2" x14ac:dyDescent="0.2">
      <c r="B146" s="10"/>
    </row>
    <row r="147" spans="2:2" x14ac:dyDescent="0.2">
      <c r="B147" s="10"/>
    </row>
    <row r="148" spans="2:2" x14ac:dyDescent="0.2">
      <c r="B148" s="10"/>
    </row>
    <row r="149" spans="2:2" x14ac:dyDescent="0.2">
      <c r="B149" s="10"/>
    </row>
    <row r="150" spans="2:2" x14ac:dyDescent="0.2">
      <c r="B150" s="10"/>
    </row>
    <row r="151" spans="2:2" x14ac:dyDescent="0.2">
      <c r="B151" s="10"/>
    </row>
    <row r="152" spans="2:2" x14ac:dyDescent="0.2">
      <c r="B152" s="10"/>
    </row>
    <row r="153" spans="2:2" x14ac:dyDescent="0.2">
      <c r="B153" s="10"/>
    </row>
    <row r="154" spans="2:2" x14ac:dyDescent="0.2">
      <c r="B154" s="10"/>
    </row>
    <row r="155" spans="2:2" x14ac:dyDescent="0.2">
      <c r="B155" s="10"/>
    </row>
    <row r="156" spans="2:2" x14ac:dyDescent="0.2">
      <c r="B156" s="10"/>
    </row>
    <row r="157" spans="2:2" x14ac:dyDescent="0.2">
      <c r="B157" s="10"/>
    </row>
    <row r="158" spans="2:2" x14ac:dyDescent="0.2">
      <c r="B158" s="10"/>
    </row>
    <row r="159" spans="2:2" x14ac:dyDescent="0.2">
      <c r="B159" s="10"/>
    </row>
    <row r="160" spans="2:2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2" x14ac:dyDescent="0.2">
      <c r="B177" s="10"/>
    </row>
    <row r="178" spans="2:2" x14ac:dyDescent="0.2">
      <c r="B178" s="10"/>
    </row>
    <row r="179" spans="2:2" x14ac:dyDescent="0.2">
      <c r="B179" s="10"/>
    </row>
    <row r="180" spans="2:2" x14ac:dyDescent="0.2">
      <c r="B180" s="10"/>
    </row>
    <row r="181" spans="2:2" x14ac:dyDescent="0.2">
      <c r="B181" s="10"/>
    </row>
    <row r="182" spans="2:2" x14ac:dyDescent="0.2">
      <c r="B182" s="10"/>
    </row>
    <row r="183" spans="2:2" x14ac:dyDescent="0.2">
      <c r="B183" s="10"/>
    </row>
    <row r="184" spans="2:2" x14ac:dyDescent="0.2">
      <c r="B184" s="10"/>
    </row>
    <row r="185" spans="2:2" x14ac:dyDescent="0.2">
      <c r="B185" s="10"/>
    </row>
    <row r="186" spans="2:2" x14ac:dyDescent="0.2">
      <c r="B186" s="10"/>
    </row>
    <row r="187" spans="2:2" x14ac:dyDescent="0.2">
      <c r="B187" s="10"/>
    </row>
    <row r="188" spans="2:2" x14ac:dyDescent="0.2">
      <c r="B188" s="10"/>
    </row>
    <row r="189" spans="2:2" x14ac:dyDescent="0.2">
      <c r="B189" s="10"/>
    </row>
    <row r="190" spans="2:2" x14ac:dyDescent="0.2">
      <c r="B190" s="10"/>
    </row>
    <row r="191" spans="2:2" x14ac:dyDescent="0.2">
      <c r="B191" s="10"/>
    </row>
    <row r="192" spans="2:2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</sheetData>
  <pageMargins left="0.7" right="0.7" top="0.75" bottom="0.75" header="0.3" footer="0.3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700-000000000000}">
          <x14:formula1>
            <xm:f>OFFSET(site!$B$1,3,0,COUNTA(site!$B:$B)-2,1)</xm:f>
          </x14:formula1>
          <xm:sqref>B10:B200</xm:sqref>
        </x14:dataValidation>
        <x14:dataValidation type="list" allowBlank="1" showInputMessage="1" showErrorMessage="1" xr:uid="{00000000-0002-0000-0700-000001000000}">
          <x14:formula1>
            <xm:f>'controlled vocabulary'!$AN$4:$AN$6</xm:f>
          </x14:formula1>
          <xm:sqref>O4:O1048576</xm:sqref>
        </x14:dataValidation>
        <x14:dataValidation type="list" allowBlank="1" showInputMessage="1" showErrorMessage="1" xr:uid="{00000000-0002-0000-0700-000002000000}">
          <x14:formula1>
            <xm:f>'controlled vocabulary'!$AM$4:$AM$7</xm:f>
          </x14:formula1>
          <xm:sqref>M4:M1048576</xm:sqref>
        </x14:dataValidation>
        <x14:dataValidation type="list" allowBlank="1" showInputMessage="1" showErrorMessage="1" xr:uid="{00000000-0002-0000-0700-000003000000}">
          <x14:formula1>
            <xm:f>OFFSET(layer!$D$1,3,0,COUNTA(layer!$D:$D)-2,1)</xm:f>
          </x14:formula1>
          <xm:sqref>D4:D1048576</xm:sqref>
        </x14:dataValidation>
        <x14:dataValidation type="list" allowBlank="1" showInputMessage="1" showErrorMessage="1" xr:uid="{00000000-0002-0000-0700-000004000000}">
          <x14:formula1>
            <xm:f>'controlled vocabulary'!$AP$4:$AP$5</xm:f>
          </x14:formula1>
          <xm:sqref>T4:T1048576</xm:sqref>
        </x14:dataValidation>
        <x14:dataValidation type="list" allowBlank="1" showInputMessage="1" showErrorMessage="1" xr:uid="{00000000-0002-0000-0700-000005000000}">
          <x14:formula1>
            <xm:f>'controlled vocabulary'!$AK$4:$AK$9</xm:f>
          </x14:formula1>
          <xm:sqref>G4:G1048576</xm:sqref>
        </x14:dataValidation>
        <x14:dataValidation type="list" allowBlank="1" showInputMessage="1" showErrorMessage="1" xr:uid="{00000000-0002-0000-0700-000006000000}">
          <x14:formula1>
            <xm:f>'controlled vocabulary'!$AO$4:$AO$5</xm:f>
          </x14:formula1>
          <xm:sqref>Q4:Q1048576</xm:sqref>
        </x14:dataValidation>
        <x14:dataValidation type="list" allowBlank="1" showInputMessage="1" showErrorMessage="1" xr:uid="{00000000-0002-0000-0700-000007000000}">
          <x14:formula1>
            <xm:f>OFFSET(profile!$D$1,3,0,COUNTA(profile!$D:$D)-2,1)</xm:f>
          </x14:formula1>
          <xm:sqref>C4:C1048576 B4:B9</xm:sqref>
        </x14:dataValidation>
        <x14:dataValidation type="list" allowBlank="1" showInputMessage="1" showErrorMessage="1" xr:uid="{00000000-0002-0000-0700-000008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</sheetPr>
  <dimension ref="A1:AV1000"/>
  <sheetViews>
    <sheetView topLeftCell="AM1" workbookViewId="0">
      <selection activeCell="L12" sqref="L12"/>
    </sheetView>
  </sheetViews>
  <sheetFormatPr baseColWidth="10" defaultColWidth="15.1640625" defaultRowHeight="15" customHeight="1" x14ac:dyDescent="0.2"/>
  <cols>
    <col min="1" max="1" width="12.5" customWidth="1"/>
    <col min="2" max="2" width="9" bestFit="1" customWidth="1"/>
    <col min="3" max="3" width="9" customWidth="1"/>
    <col min="4" max="4" width="13.1640625" bestFit="1" customWidth="1"/>
    <col min="5" max="5" width="13.1640625" customWidth="1"/>
    <col min="6" max="6" width="14.5" bestFit="1" customWidth="1"/>
    <col min="7" max="10" width="14.5" customWidth="1"/>
    <col min="11" max="11" width="13.5" customWidth="1"/>
    <col min="12" max="12" width="12.5" customWidth="1"/>
    <col min="13" max="13" width="11.1640625" customWidth="1"/>
    <col min="14" max="15" width="10.1640625" customWidth="1"/>
    <col min="16" max="16" width="14.83203125" customWidth="1"/>
    <col min="17" max="17" width="10.1640625" customWidth="1"/>
    <col min="18" max="18" width="19.5" customWidth="1"/>
    <col min="19" max="19" width="10.1640625" customWidth="1"/>
    <col min="20" max="20" width="15.5" bestFit="1" customWidth="1"/>
    <col min="21" max="24" width="10.1640625" customWidth="1"/>
    <col min="25" max="26" width="13.5" customWidth="1"/>
    <col min="27" max="27" width="23.1640625" customWidth="1"/>
    <col min="28" max="28" width="12" bestFit="1" customWidth="1"/>
    <col min="29" max="29" width="7.83203125" bestFit="1" customWidth="1"/>
    <col min="30" max="30" width="9.5" bestFit="1" customWidth="1"/>
    <col min="31" max="31" width="10.5" bestFit="1" customWidth="1"/>
    <col min="32" max="34" width="10.5" customWidth="1"/>
    <col min="35" max="35" width="15.5" bestFit="1" customWidth="1"/>
    <col min="36" max="36" width="17.83203125" bestFit="1" customWidth="1"/>
    <col min="37" max="37" width="13.5" bestFit="1" customWidth="1"/>
    <col min="38" max="38" width="20.5" bestFit="1" customWidth="1"/>
    <col min="39" max="39" width="14.5" bestFit="1" customWidth="1"/>
    <col min="40" max="40" width="15.5" customWidth="1"/>
    <col min="41" max="42" width="23.1640625" customWidth="1"/>
    <col min="43" max="43" width="16.1640625" bestFit="1" customWidth="1"/>
    <col min="44" max="44" width="12.5" bestFit="1" customWidth="1"/>
    <col min="45" max="45" width="16.5" bestFit="1" customWidth="1"/>
    <col min="46" max="46" width="18.83203125" bestFit="1" customWidth="1"/>
    <col min="47" max="47" width="18.83203125" customWidth="1"/>
    <col min="48" max="48" width="24.5" bestFit="1" customWidth="1"/>
    <col min="49" max="52" width="13.1640625" customWidth="1"/>
  </cols>
  <sheetData>
    <row r="1" spans="1:48" s="73" customFormat="1" ht="15" customHeight="1" x14ac:dyDescent="0.2">
      <c r="A1" s="72" t="s">
        <v>160</v>
      </c>
      <c r="B1" s="72" t="s">
        <v>161</v>
      </c>
      <c r="C1" s="72"/>
      <c r="D1" s="74"/>
      <c r="E1" s="74"/>
      <c r="F1" s="74"/>
      <c r="G1" s="74"/>
      <c r="H1" s="74"/>
      <c r="I1" s="74"/>
      <c r="J1" s="74"/>
      <c r="K1" s="74"/>
      <c r="L1" s="74"/>
      <c r="M1" s="74"/>
      <c r="O1" s="75"/>
      <c r="P1" s="72" t="s">
        <v>634</v>
      </c>
      <c r="Q1" s="75"/>
      <c r="R1" s="75"/>
      <c r="S1" s="75"/>
      <c r="T1" s="75"/>
      <c r="U1" s="75"/>
      <c r="V1" s="75"/>
      <c r="W1" s="75"/>
      <c r="X1" s="75"/>
      <c r="Y1" s="72" t="s">
        <v>162</v>
      </c>
      <c r="Z1" s="75"/>
      <c r="AA1" s="74"/>
      <c r="AB1" s="74"/>
      <c r="AC1" s="74"/>
      <c r="AD1" s="74"/>
      <c r="AE1" s="74"/>
      <c r="AF1" s="72" t="s">
        <v>635</v>
      </c>
      <c r="AG1" s="74"/>
      <c r="AH1" s="74"/>
      <c r="AI1" s="74"/>
      <c r="AJ1" s="74"/>
      <c r="AK1" s="72" t="s">
        <v>627</v>
      </c>
      <c r="AL1" s="75"/>
      <c r="AM1" s="74"/>
      <c r="AO1" s="74"/>
      <c r="AP1" s="74"/>
      <c r="AQ1" s="72" t="s">
        <v>163</v>
      </c>
      <c r="AS1" s="74"/>
      <c r="AT1" s="74"/>
      <c r="AU1" s="74"/>
      <c r="AV1" s="74"/>
    </row>
    <row r="2" spans="1:48" s="73" customFormat="1" ht="15" customHeight="1" x14ac:dyDescent="0.2">
      <c r="A2" s="76" t="s">
        <v>437</v>
      </c>
      <c r="B2" s="76" t="s">
        <v>485</v>
      </c>
      <c r="C2" s="76" t="s">
        <v>467</v>
      </c>
      <c r="D2" s="76" t="s">
        <v>488</v>
      </c>
      <c r="E2" s="25" t="s">
        <v>865</v>
      </c>
      <c r="F2" s="76" t="s">
        <v>678</v>
      </c>
      <c r="G2" s="76" t="s">
        <v>476</v>
      </c>
      <c r="H2" s="76" t="s">
        <v>878</v>
      </c>
      <c r="I2" s="76" t="s">
        <v>879</v>
      </c>
      <c r="J2" s="76" t="s">
        <v>880</v>
      </c>
      <c r="K2" s="76" t="s">
        <v>489</v>
      </c>
      <c r="L2" s="76" t="s">
        <v>481</v>
      </c>
      <c r="M2" s="76" t="s">
        <v>482</v>
      </c>
      <c r="N2" s="76" t="s">
        <v>484</v>
      </c>
      <c r="O2" s="76" t="s">
        <v>805</v>
      </c>
      <c r="P2" s="76" t="s">
        <v>439</v>
      </c>
      <c r="Q2" s="76" t="s">
        <v>441</v>
      </c>
      <c r="R2" s="76" t="s">
        <v>442</v>
      </c>
      <c r="S2" s="76" t="s">
        <v>661</v>
      </c>
      <c r="T2" s="76" t="s">
        <v>652</v>
      </c>
      <c r="U2" s="76" t="s">
        <v>692</v>
      </c>
      <c r="V2" s="76" t="s">
        <v>444</v>
      </c>
      <c r="W2" s="76" t="s">
        <v>445</v>
      </c>
      <c r="X2" s="76" t="s">
        <v>451</v>
      </c>
      <c r="Y2" s="76" t="s">
        <v>510</v>
      </c>
      <c r="Z2" s="77" t="s">
        <v>515</v>
      </c>
      <c r="AA2" s="76" t="s">
        <v>542</v>
      </c>
      <c r="AB2" s="76" t="s">
        <v>494</v>
      </c>
      <c r="AC2" s="76" t="s">
        <v>498</v>
      </c>
      <c r="AD2" s="76" t="s">
        <v>501</v>
      </c>
      <c r="AE2" s="76" t="s">
        <v>580</v>
      </c>
      <c r="AF2" s="76" t="s">
        <v>336</v>
      </c>
      <c r="AG2" s="76" t="s">
        <v>337</v>
      </c>
      <c r="AH2" s="76" t="s">
        <v>338</v>
      </c>
      <c r="AI2" s="76" t="s">
        <v>663</v>
      </c>
      <c r="AJ2" s="76" t="s">
        <v>363</v>
      </c>
      <c r="AK2" s="76" t="s">
        <v>707</v>
      </c>
      <c r="AL2" s="76" t="s">
        <v>758</v>
      </c>
      <c r="AM2" s="76" t="s">
        <v>710</v>
      </c>
      <c r="AN2" s="76" t="s">
        <v>708</v>
      </c>
      <c r="AO2" s="76" t="s">
        <v>709</v>
      </c>
      <c r="AP2" s="76" t="s">
        <v>711</v>
      </c>
      <c r="AQ2" s="78" t="s">
        <v>588</v>
      </c>
      <c r="AR2" s="79" t="s">
        <v>592</v>
      </c>
      <c r="AS2" s="77" t="s">
        <v>587</v>
      </c>
      <c r="AT2" s="76" t="s">
        <v>589</v>
      </c>
      <c r="AU2" s="76" t="s">
        <v>594</v>
      </c>
      <c r="AV2" s="76" t="s">
        <v>724</v>
      </c>
    </row>
    <row r="3" spans="1:48" s="73" customFormat="1" ht="15" customHeight="1" x14ac:dyDescent="0.2">
      <c r="A3" s="80"/>
      <c r="B3" s="80"/>
      <c r="C3" s="80"/>
      <c r="D3" s="80"/>
      <c r="E3" s="80"/>
      <c r="F3" s="80"/>
      <c r="G3" s="80"/>
      <c r="H3" s="80"/>
      <c r="I3" s="80"/>
      <c r="J3" s="80"/>
      <c r="K3" s="81" t="str">
        <f>HYPERLINK("http://www.water-research.net/course/drainageclass.pdf","Soil Drainage Classes")</f>
        <v>Soil Drainage Classes</v>
      </c>
      <c r="L3" s="81" t="str">
        <f>HYPERLINK("http://www.nrcs.usda.gov/Internet/FSE_DOCUMENTS/nrcs142p2_052523.pdf","NRCS")</f>
        <v>NRCS</v>
      </c>
      <c r="M3" s="81" t="str">
        <f>HYPERLINK("http://jersey.uoregon.edu/~mstrick/AskGeoMan/geoQuerry11.html","Mafic vs. Felsic")</f>
        <v>Mafic vs. Felsic</v>
      </c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 t="s">
        <v>164</v>
      </c>
      <c r="Z3" s="80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0"/>
      <c r="AM3" s="82"/>
      <c r="AN3" s="82"/>
      <c r="AO3" s="82"/>
      <c r="AP3" s="82"/>
      <c r="AQ3" s="80" t="s">
        <v>138</v>
      </c>
      <c r="AR3" s="83"/>
      <c r="AS3" s="80" t="s">
        <v>165</v>
      </c>
      <c r="AT3" s="80" t="s">
        <v>166</v>
      </c>
      <c r="AU3" s="80"/>
      <c r="AV3" s="80"/>
    </row>
    <row r="4" spans="1:48" ht="12.75" customHeight="1" x14ac:dyDescent="0.2">
      <c r="A4" s="1" t="s">
        <v>167</v>
      </c>
      <c r="B4" s="1" t="s">
        <v>168</v>
      </c>
      <c r="C4" s="1" t="s">
        <v>807</v>
      </c>
      <c r="D4" s="1" t="s">
        <v>169</v>
      </c>
      <c r="E4" s="1" t="s">
        <v>866</v>
      </c>
      <c r="F4" s="1" t="s">
        <v>682</v>
      </c>
      <c r="G4" s="1" t="s">
        <v>170</v>
      </c>
      <c r="H4" s="1" t="s">
        <v>881</v>
      </c>
      <c r="I4" s="1" t="s">
        <v>882</v>
      </c>
      <c r="J4" s="1" t="s">
        <v>883</v>
      </c>
      <c r="K4" s="1" t="s">
        <v>171</v>
      </c>
      <c r="L4" s="1" t="s">
        <v>172</v>
      </c>
      <c r="M4" s="1" t="s">
        <v>173</v>
      </c>
      <c r="N4" s="1" t="s">
        <v>174</v>
      </c>
      <c r="O4" s="15" t="s">
        <v>326</v>
      </c>
      <c r="P4" s="1" t="s">
        <v>636</v>
      </c>
      <c r="Q4" s="1" t="s">
        <v>640</v>
      </c>
      <c r="R4" s="1" t="s">
        <v>645</v>
      </c>
      <c r="S4" s="1" t="s">
        <v>649</v>
      </c>
      <c r="T4" s="1" t="s">
        <v>653</v>
      </c>
      <c r="U4" s="1" t="s">
        <v>693</v>
      </c>
      <c r="V4" s="1" t="s">
        <v>807</v>
      </c>
      <c r="W4" s="1" t="s">
        <v>807</v>
      </c>
      <c r="X4" s="1" t="s">
        <v>670</v>
      </c>
      <c r="Y4" s="1" t="s">
        <v>306</v>
      </c>
      <c r="Z4" s="1" t="s">
        <v>276</v>
      </c>
      <c r="AA4" s="1" t="s">
        <v>175</v>
      </c>
      <c r="AB4" s="1" t="s">
        <v>807</v>
      </c>
      <c r="AC4" s="1" t="s">
        <v>807</v>
      </c>
      <c r="AD4" s="1" t="s">
        <v>808</v>
      </c>
      <c r="AE4" s="1" t="s">
        <v>581</v>
      </c>
      <c r="AF4" s="1" t="s">
        <v>658</v>
      </c>
      <c r="AG4" s="1" t="s">
        <v>640</v>
      </c>
      <c r="AH4" s="1" t="s">
        <v>650</v>
      </c>
      <c r="AI4" s="1" t="s">
        <v>653</v>
      </c>
      <c r="AJ4" s="1" t="s">
        <v>667</v>
      </c>
      <c r="AK4" s="1" t="s">
        <v>766</v>
      </c>
      <c r="AL4" s="1" t="s">
        <v>645</v>
      </c>
      <c r="AM4" s="15" t="s">
        <v>315</v>
      </c>
      <c r="AN4" s="15" t="s">
        <v>311</v>
      </c>
      <c r="AO4" s="15" t="s">
        <v>313</v>
      </c>
      <c r="AP4" s="1" t="s">
        <v>319</v>
      </c>
      <c r="AQ4" t="s">
        <v>250</v>
      </c>
      <c r="AR4" t="s">
        <v>255</v>
      </c>
      <c r="AS4" t="s">
        <v>296</v>
      </c>
      <c r="AT4" s="2" t="s">
        <v>176</v>
      </c>
      <c r="AU4" s="2" t="s">
        <v>807</v>
      </c>
      <c r="AV4" s="2" t="s">
        <v>175</v>
      </c>
    </row>
    <row r="5" spans="1:48" ht="12.75" customHeight="1" x14ac:dyDescent="0.2">
      <c r="A5" s="1" t="s">
        <v>177</v>
      </c>
      <c r="B5" s="1" t="s">
        <v>178</v>
      </c>
      <c r="C5" s="1"/>
      <c r="D5" s="1" t="s">
        <v>179</v>
      </c>
      <c r="E5" s="1" t="s">
        <v>867</v>
      </c>
      <c r="F5" s="1" t="s">
        <v>681</v>
      </c>
      <c r="G5" s="1" t="s">
        <v>180</v>
      </c>
      <c r="H5" s="1" t="s">
        <v>884</v>
      </c>
      <c r="I5" s="1" t="s">
        <v>885</v>
      </c>
      <c r="J5" s="1" t="s">
        <v>886</v>
      </c>
      <c r="K5" s="1" t="s">
        <v>181</v>
      </c>
      <c r="L5" s="1" t="s">
        <v>182</v>
      </c>
      <c r="M5" s="1" t="s">
        <v>183</v>
      </c>
      <c r="N5" s="1" t="s">
        <v>184</v>
      </c>
      <c r="O5" s="15" t="s">
        <v>325</v>
      </c>
      <c r="P5" s="1" t="s">
        <v>637</v>
      </c>
      <c r="Q5" s="1" t="s">
        <v>641</v>
      </c>
      <c r="R5" s="1" t="s">
        <v>646</v>
      </c>
      <c r="S5" s="1" t="s">
        <v>665</v>
      </c>
      <c r="T5" s="1" t="s">
        <v>654</v>
      </c>
      <c r="U5" s="1" t="s">
        <v>694</v>
      </c>
      <c r="V5" s="1"/>
      <c r="W5" s="1"/>
      <c r="X5" s="1" t="s">
        <v>669</v>
      </c>
      <c r="Y5" s="1" t="s">
        <v>185</v>
      </c>
      <c r="Z5" s="1" t="s">
        <v>278</v>
      </c>
      <c r="AA5" s="1" t="s">
        <v>186</v>
      </c>
      <c r="AB5" s="1"/>
      <c r="AC5" s="1"/>
      <c r="AD5" s="1"/>
      <c r="AE5" s="1" t="s">
        <v>582</v>
      </c>
      <c r="AF5" s="1" t="s">
        <v>659</v>
      </c>
      <c r="AG5" s="1" t="s">
        <v>641</v>
      </c>
      <c r="AH5" s="1" t="s">
        <v>662</v>
      </c>
      <c r="AI5" s="1" t="s">
        <v>654</v>
      </c>
      <c r="AJ5" s="1" t="s">
        <v>668</v>
      </c>
      <c r="AK5" s="1" t="s">
        <v>762</v>
      </c>
      <c r="AL5" s="1" t="s">
        <v>646</v>
      </c>
      <c r="AM5" s="15" t="s">
        <v>316</v>
      </c>
      <c r="AN5" s="15" t="s">
        <v>312</v>
      </c>
      <c r="AO5" s="15" t="s">
        <v>314</v>
      </c>
      <c r="AP5" s="1" t="s">
        <v>320</v>
      </c>
      <c r="AQ5" t="s">
        <v>251</v>
      </c>
      <c r="AR5" t="s">
        <v>809</v>
      </c>
      <c r="AS5" t="s">
        <v>297</v>
      </c>
      <c r="AT5" s="2" t="s">
        <v>198</v>
      </c>
      <c r="AU5" s="2"/>
      <c r="AV5" s="2" t="s">
        <v>186</v>
      </c>
    </row>
    <row r="6" spans="1:48" ht="12.75" customHeight="1" x14ac:dyDescent="0.2">
      <c r="A6" s="1" t="s">
        <v>187</v>
      </c>
      <c r="B6" s="1" t="s">
        <v>188</v>
      </c>
      <c r="C6" s="1"/>
      <c r="D6" s="1" t="s">
        <v>189</v>
      </c>
      <c r="E6" s="1" t="s">
        <v>868</v>
      </c>
      <c r="F6" s="1" t="s">
        <v>214</v>
      </c>
      <c r="G6" s="1" t="s">
        <v>190</v>
      </c>
      <c r="H6" s="1" t="s">
        <v>887</v>
      </c>
      <c r="I6" s="1" t="s">
        <v>887</v>
      </c>
      <c r="J6" s="1" t="s">
        <v>888</v>
      </c>
      <c r="K6" s="1" t="s">
        <v>191</v>
      </c>
      <c r="L6" s="1" t="s">
        <v>192</v>
      </c>
      <c r="M6" s="1" t="s">
        <v>193</v>
      </c>
      <c r="N6" s="1" t="s">
        <v>194</v>
      </c>
      <c r="O6" s="1"/>
      <c r="P6" s="1" t="s">
        <v>638</v>
      </c>
      <c r="Q6" s="1" t="s">
        <v>644</v>
      </c>
      <c r="R6" s="1" t="s">
        <v>647</v>
      </c>
      <c r="S6" s="1" t="s">
        <v>675</v>
      </c>
      <c r="T6" s="1" t="s">
        <v>655</v>
      </c>
      <c r="U6" s="1" t="s">
        <v>299</v>
      </c>
      <c r="V6" s="1"/>
      <c r="W6" s="1"/>
      <c r="X6" s="1" t="s">
        <v>686</v>
      </c>
      <c r="Y6" s="1" t="s">
        <v>195</v>
      </c>
      <c r="Z6" s="1" t="s">
        <v>277</v>
      </c>
      <c r="AA6" s="1" t="s">
        <v>196</v>
      </c>
      <c r="AB6" s="1"/>
      <c r="AC6" s="1"/>
      <c r="AD6" s="1"/>
      <c r="AE6" s="1" t="s">
        <v>703</v>
      </c>
      <c r="AF6" s="1" t="s">
        <v>660</v>
      </c>
      <c r="AG6" s="1" t="s">
        <v>644</v>
      </c>
      <c r="AH6" s="1"/>
      <c r="AI6" s="1" t="s">
        <v>655</v>
      </c>
      <c r="AJ6" s="1" t="s">
        <v>684</v>
      </c>
      <c r="AK6" s="1" t="s">
        <v>763</v>
      </c>
      <c r="AL6" s="1" t="s">
        <v>759</v>
      </c>
      <c r="AM6" s="15" t="s">
        <v>317</v>
      </c>
      <c r="AN6" s="15" t="s">
        <v>214</v>
      </c>
      <c r="AO6" s="1"/>
      <c r="AP6" s="15"/>
      <c r="AQ6" t="s">
        <v>215</v>
      </c>
      <c r="AR6" t="s">
        <v>197</v>
      </c>
      <c r="AS6" s="1" t="s">
        <v>298</v>
      </c>
      <c r="AT6" s="2" t="s">
        <v>34</v>
      </c>
      <c r="AU6" s="2"/>
      <c r="AV6" s="2" t="s">
        <v>196</v>
      </c>
    </row>
    <row r="7" spans="1:48" ht="12.75" customHeight="1" x14ac:dyDescent="0.2">
      <c r="A7" s="1" t="s">
        <v>199</v>
      </c>
      <c r="B7" s="1" t="s">
        <v>200</v>
      </c>
      <c r="C7" s="1"/>
      <c r="D7" s="1"/>
      <c r="E7" s="1" t="s">
        <v>869</v>
      </c>
      <c r="F7" s="1"/>
      <c r="G7" s="1" t="s">
        <v>201</v>
      </c>
      <c r="H7" s="1"/>
      <c r="I7" s="1"/>
      <c r="J7" s="1"/>
      <c r="K7" s="1" t="s">
        <v>202</v>
      </c>
      <c r="L7" s="1" t="s">
        <v>203</v>
      </c>
      <c r="M7" s="1"/>
      <c r="N7" s="1" t="s">
        <v>204</v>
      </c>
      <c r="O7" s="1"/>
      <c r="P7" s="1" t="s">
        <v>639</v>
      </c>
      <c r="Q7" s="1" t="s">
        <v>642</v>
      </c>
      <c r="R7" s="1" t="s">
        <v>648</v>
      </c>
      <c r="S7" s="1"/>
      <c r="T7" s="1" t="s">
        <v>656</v>
      </c>
      <c r="U7" s="1"/>
      <c r="V7" s="1"/>
      <c r="W7" s="1"/>
      <c r="X7" s="1" t="s">
        <v>687</v>
      </c>
      <c r="Y7" s="1" t="s">
        <v>205</v>
      </c>
      <c r="Z7" s="1" t="s">
        <v>280</v>
      </c>
      <c r="AA7" s="1" t="s">
        <v>206</v>
      </c>
      <c r="AB7" s="1"/>
      <c r="AC7" s="1"/>
      <c r="AD7" s="1"/>
      <c r="AE7" s="1"/>
      <c r="AF7" s="1"/>
      <c r="AG7" s="1" t="s">
        <v>642</v>
      </c>
      <c r="AH7" s="1"/>
      <c r="AI7" s="1" t="s">
        <v>656</v>
      </c>
      <c r="AJ7" s="1" t="s">
        <v>685</v>
      </c>
      <c r="AK7" s="1" t="s">
        <v>764</v>
      </c>
      <c r="AL7" s="1"/>
      <c r="AM7" s="15" t="s">
        <v>318</v>
      </c>
      <c r="AN7" s="1"/>
      <c r="AO7" s="1"/>
      <c r="AP7" s="15"/>
      <c r="AQ7" t="s">
        <v>232</v>
      </c>
      <c r="AR7" t="s">
        <v>216</v>
      </c>
      <c r="AS7" t="s">
        <v>263</v>
      </c>
      <c r="AT7" s="2" t="s">
        <v>225</v>
      </c>
      <c r="AU7" s="2"/>
      <c r="AV7" s="2" t="s">
        <v>206</v>
      </c>
    </row>
    <row r="8" spans="1:48" ht="12.75" customHeight="1" x14ac:dyDescent="0.2">
      <c r="A8" s="1" t="s">
        <v>207</v>
      </c>
      <c r="B8" s="1" t="s">
        <v>208</v>
      </c>
      <c r="C8" s="1"/>
      <c r="D8" s="1"/>
      <c r="E8" s="1" t="s">
        <v>870</v>
      </c>
      <c r="F8" s="1"/>
      <c r="G8" s="1" t="s">
        <v>209</v>
      </c>
      <c r="H8" s="1"/>
      <c r="I8" s="1"/>
      <c r="J8" s="1"/>
      <c r="K8" s="1" t="s">
        <v>210</v>
      </c>
      <c r="L8" s="1" t="s">
        <v>211</v>
      </c>
      <c r="M8" s="1"/>
      <c r="N8" s="1" t="s">
        <v>212</v>
      </c>
      <c r="O8" s="1"/>
      <c r="P8" s="1" t="s">
        <v>791</v>
      </c>
      <c r="Q8" s="1" t="s">
        <v>643</v>
      </c>
      <c r="R8" s="1" t="s">
        <v>731</v>
      </c>
      <c r="S8" s="1"/>
      <c r="T8" s="1" t="s">
        <v>657</v>
      </c>
      <c r="U8" s="1"/>
      <c r="V8" s="1"/>
      <c r="W8" s="1"/>
      <c r="X8" s="1" t="s">
        <v>688</v>
      </c>
      <c r="Y8" s="1" t="s">
        <v>213</v>
      </c>
      <c r="Z8" s="1" t="s">
        <v>279</v>
      </c>
      <c r="AA8" s="1" t="s">
        <v>214</v>
      </c>
      <c r="AB8" s="1"/>
      <c r="AC8" s="1"/>
      <c r="AD8" s="1"/>
      <c r="AE8" s="1"/>
      <c r="AF8" s="1"/>
      <c r="AG8" s="1" t="s">
        <v>643</v>
      </c>
      <c r="AH8" s="1"/>
      <c r="AI8" s="1" t="s">
        <v>657</v>
      </c>
      <c r="AJ8" s="1"/>
      <c r="AK8" s="1" t="s">
        <v>765</v>
      </c>
      <c r="AL8" s="1"/>
      <c r="AM8" s="1"/>
      <c r="AN8" s="1"/>
      <c r="AO8" s="1"/>
      <c r="AP8" s="1"/>
      <c r="AQ8" t="s">
        <v>237</v>
      </c>
      <c r="AR8" t="s">
        <v>224</v>
      </c>
      <c r="AS8" t="s">
        <v>264</v>
      </c>
      <c r="AT8" s="2" t="s">
        <v>299</v>
      </c>
      <c r="AU8" s="2"/>
      <c r="AV8" s="2" t="s">
        <v>214</v>
      </c>
    </row>
    <row r="9" spans="1:48" ht="12.75" customHeight="1" x14ac:dyDescent="0.2">
      <c r="A9" s="1" t="s">
        <v>217</v>
      </c>
      <c r="B9" s="1" t="s">
        <v>218</v>
      </c>
      <c r="C9" s="1"/>
      <c r="D9" s="1"/>
      <c r="E9" s="1" t="s">
        <v>871</v>
      </c>
      <c r="F9" s="1"/>
      <c r="G9" s="1" t="s">
        <v>219</v>
      </c>
      <c r="H9" s="1"/>
      <c r="I9" s="1"/>
      <c r="J9" s="1"/>
      <c r="K9" s="1" t="s">
        <v>220</v>
      </c>
      <c r="L9" s="1" t="s">
        <v>221</v>
      </c>
      <c r="M9" s="1"/>
      <c r="N9" s="1" t="s">
        <v>222</v>
      </c>
      <c r="O9" s="1"/>
      <c r="P9" s="1" t="s">
        <v>792</v>
      </c>
      <c r="Q9" s="1" t="s">
        <v>712</v>
      </c>
      <c r="R9" s="1"/>
      <c r="S9" s="1"/>
      <c r="T9" s="1" t="s">
        <v>801</v>
      </c>
      <c r="U9" s="1"/>
      <c r="V9" s="1"/>
      <c r="W9" s="1"/>
      <c r="X9" s="1" t="s">
        <v>683</v>
      </c>
      <c r="Y9" s="1" t="s">
        <v>223</v>
      </c>
      <c r="Z9" s="1"/>
      <c r="AA9" s="1"/>
      <c r="AB9" s="1"/>
      <c r="AC9" s="1"/>
      <c r="AD9" s="1"/>
      <c r="AE9" s="1"/>
      <c r="AF9" s="1"/>
      <c r="AG9" s="1"/>
      <c r="AH9" s="1"/>
      <c r="AI9" s="1" t="s">
        <v>664</v>
      </c>
      <c r="AJ9" s="1"/>
      <c r="AK9" s="1" t="s">
        <v>712</v>
      </c>
      <c r="AL9" s="1"/>
      <c r="AM9" s="1"/>
      <c r="AN9" s="1"/>
      <c r="AO9" s="1"/>
      <c r="AP9" s="1"/>
      <c r="AQ9" t="s">
        <v>308</v>
      </c>
      <c r="AR9" t="s">
        <v>257</v>
      </c>
      <c r="AS9" t="s">
        <v>265</v>
      </c>
      <c r="AT9" s="2" t="s">
        <v>300</v>
      </c>
      <c r="AU9" s="2"/>
      <c r="AV9" s="2"/>
    </row>
    <row r="10" spans="1:48" ht="12.75" customHeight="1" x14ac:dyDescent="0.2">
      <c r="A10" s="1" t="s">
        <v>226</v>
      </c>
      <c r="B10" s="1" t="s">
        <v>227</v>
      </c>
      <c r="C10" s="1"/>
      <c r="D10" s="1"/>
      <c r="E10" s="1" t="s">
        <v>872</v>
      </c>
      <c r="F10" s="1"/>
      <c r="G10" s="1" t="s">
        <v>228</v>
      </c>
      <c r="H10" s="1"/>
      <c r="I10" s="1"/>
      <c r="J10" s="1"/>
      <c r="K10" s="1" t="s">
        <v>229</v>
      </c>
      <c r="L10" s="1" t="s">
        <v>230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 t="s">
        <v>231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t="s">
        <v>252</v>
      </c>
      <c r="AR10" t="s">
        <v>233</v>
      </c>
      <c r="AS10" t="s">
        <v>266</v>
      </c>
      <c r="AT10" s="2" t="s">
        <v>301</v>
      </c>
      <c r="AU10" s="2"/>
      <c r="AV10" s="2"/>
    </row>
    <row r="11" spans="1:48" ht="12.75" customHeight="1" x14ac:dyDescent="0.2">
      <c r="A11" s="1"/>
      <c r="B11" s="1" t="s">
        <v>234</v>
      </c>
      <c r="C11" s="1"/>
      <c r="D11" s="1"/>
      <c r="E11" s="1" t="s">
        <v>873</v>
      </c>
      <c r="F11" s="1"/>
      <c r="G11" s="1" t="s">
        <v>862</v>
      </c>
      <c r="H11" s="1"/>
      <c r="I11" s="1"/>
      <c r="J11" s="1"/>
      <c r="K11" s="1"/>
      <c r="L11" s="1" t="s">
        <v>235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 t="s">
        <v>236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t="s">
        <v>253</v>
      </c>
      <c r="AR11" t="s">
        <v>238</v>
      </c>
      <c r="AS11" t="s">
        <v>238</v>
      </c>
      <c r="AT11" s="2"/>
      <c r="AU11" s="2"/>
      <c r="AV11" s="2"/>
    </row>
    <row r="12" spans="1:48" ht="12.75" customHeight="1" x14ac:dyDescent="0.2">
      <c r="A12" s="1"/>
      <c r="B12" s="1"/>
      <c r="C12" s="1"/>
      <c r="D12" s="1"/>
      <c r="E12" s="1" t="s">
        <v>874</v>
      </c>
      <c r="F12" s="1"/>
      <c r="G12" s="1"/>
      <c r="H12" s="1"/>
      <c r="I12" s="1"/>
      <c r="J12" s="1"/>
      <c r="K12" s="1"/>
      <c r="L12" s="1" t="s">
        <v>908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 t="s">
        <v>239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t="s">
        <v>254</v>
      </c>
      <c r="AR12" t="s">
        <v>258</v>
      </c>
      <c r="AS12" t="s">
        <v>267</v>
      </c>
      <c r="AT12" s="2"/>
      <c r="AU12" s="2"/>
      <c r="AV12" s="2"/>
    </row>
    <row r="13" spans="1:48" ht="12.75" customHeight="1" x14ac:dyDescent="0.2">
      <c r="A13" s="1"/>
      <c r="B13" s="1"/>
      <c r="C13" s="1"/>
      <c r="D13" s="1"/>
      <c r="E13" s="1" t="s">
        <v>875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 t="s">
        <v>240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2" t="s">
        <v>804</v>
      </c>
      <c r="AR13" t="s">
        <v>259</v>
      </c>
      <c r="AS13" t="s">
        <v>268</v>
      </c>
      <c r="AT13" s="2"/>
      <c r="AU13" s="2"/>
      <c r="AV13" s="2"/>
    </row>
    <row r="14" spans="1:48" ht="12.75" customHeight="1" x14ac:dyDescent="0.2">
      <c r="A14" s="1"/>
      <c r="B14" s="1"/>
      <c r="C14" s="1"/>
      <c r="D14" s="1"/>
      <c r="E14" s="1" t="s">
        <v>876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 t="s">
        <v>241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2" t="s">
        <v>307</v>
      </c>
      <c r="AR14" t="s">
        <v>256</v>
      </c>
      <c r="AS14" t="s">
        <v>269</v>
      </c>
      <c r="AT14" s="2"/>
      <c r="AU14" s="2"/>
      <c r="AV14" s="2"/>
    </row>
    <row r="15" spans="1:48" ht="12.75" customHeight="1" x14ac:dyDescent="0.2">
      <c r="A15" s="1"/>
      <c r="B15" s="1"/>
      <c r="C15" s="1"/>
      <c r="D15" s="1"/>
      <c r="E15" s="1" t="s">
        <v>877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 t="s">
        <v>242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2"/>
      <c r="AR15" t="s">
        <v>260</v>
      </c>
      <c r="AS15" t="s">
        <v>270</v>
      </c>
      <c r="AT15" s="2"/>
      <c r="AU15" s="2"/>
      <c r="AV15" s="2"/>
    </row>
    <row r="16" spans="1:48" ht="12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 t="s">
        <v>304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2"/>
      <c r="AR16" t="s">
        <v>261</v>
      </c>
      <c r="AS16" t="s">
        <v>271</v>
      </c>
      <c r="AT16" s="2"/>
      <c r="AU16" s="2"/>
      <c r="AV16" s="2"/>
    </row>
    <row r="17" spans="1:48" ht="12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2"/>
      <c r="AR17" t="s">
        <v>262</v>
      </c>
      <c r="AS17" t="s">
        <v>272</v>
      </c>
      <c r="AT17" s="2"/>
      <c r="AU17" s="2"/>
      <c r="AV17" s="2"/>
    </row>
    <row r="18" spans="1:48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2"/>
      <c r="AR18" t="s">
        <v>302</v>
      </c>
      <c r="AS18" t="s">
        <v>273</v>
      </c>
      <c r="AT18" s="2"/>
      <c r="AU18" s="2"/>
      <c r="AV18" s="2"/>
    </row>
    <row r="19" spans="1:48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R19" t="s">
        <v>303</v>
      </c>
      <c r="AS19" s="2"/>
      <c r="AT19" s="2"/>
      <c r="AU19" s="2"/>
      <c r="AV19" s="2"/>
    </row>
    <row r="20" spans="1:48" ht="12.75" customHeight="1" x14ac:dyDescent="0.2">
      <c r="A20" s="1"/>
      <c r="B20" s="1"/>
      <c r="C20" s="1"/>
      <c r="D20" s="1"/>
      <c r="E20" s="1"/>
      <c r="F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R20" t="s">
        <v>305</v>
      </c>
      <c r="AS20" s="2"/>
      <c r="AT20" s="2"/>
      <c r="AU20" s="2"/>
      <c r="AV20" s="2"/>
    </row>
    <row r="21" spans="1:48" ht="12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S21" s="2"/>
      <c r="AT21" s="2"/>
      <c r="AU21" s="2"/>
      <c r="AV21" s="2"/>
    </row>
    <row r="22" spans="1:48" ht="12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S22" s="2"/>
      <c r="AT22" s="2"/>
      <c r="AU22" s="2"/>
      <c r="AV22" s="2"/>
    </row>
    <row r="23" spans="1:48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S23" s="2"/>
      <c r="AT23" s="2"/>
      <c r="AU23" s="2"/>
      <c r="AV23" s="2"/>
    </row>
    <row r="24" spans="1:48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S24" s="2"/>
      <c r="AT24" s="2"/>
      <c r="AU24" s="2"/>
      <c r="AV24" s="2"/>
    </row>
    <row r="25" spans="1:48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S25" s="2"/>
    </row>
    <row r="26" spans="1:48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S26" s="2"/>
    </row>
    <row r="27" spans="1:48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8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M28" s="1"/>
      <c r="AN28" s="1"/>
      <c r="AO28" s="1"/>
      <c r="AP28" s="1"/>
    </row>
    <row r="29" spans="1:48" x14ac:dyDescent="0.2"/>
    <row r="30" spans="1:48" x14ac:dyDescent="0.2"/>
    <row r="31" spans="1:48" x14ac:dyDescent="0.2"/>
    <row r="32" spans="1:48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metadata</vt:lpstr>
      <vt:lpstr>site</vt:lpstr>
      <vt:lpstr>profile</vt:lpstr>
      <vt:lpstr>flux</vt:lpstr>
      <vt:lpstr>layer</vt:lpstr>
      <vt:lpstr>interstitial</vt:lpstr>
      <vt:lpstr>fraction</vt:lpstr>
      <vt:lpstr>incubation</vt:lpstr>
      <vt:lpstr>controlled vocabulary</vt:lpstr>
      <vt:lpstr>i_moisture_type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</dc:creator>
  <cp:lastModifiedBy>Caitlin Hicks Pries</cp:lastModifiedBy>
  <dcterms:created xsi:type="dcterms:W3CDTF">2017-05-04T18:45:36Z</dcterms:created>
  <dcterms:modified xsi:type="dcterms:W3CDTF">2025-11-14T19:31:47Z</dcterms:modified>
</cp:coreProperties>
</file>