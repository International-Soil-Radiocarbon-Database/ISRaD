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f0076db\Documents\GitHub\ISRaD\ISRaD_data_files\"/>
    </mc:Choice>
  </mc:AlternateContent>
  <xr:revisionPtr revIDLastSave="0" documentId="8_{01F38C65-D6A1-4EEB-A45F-504E344094EE}" xr6:coauthVersionLast="47" xr6:coauthVersionMax="47" xr10:uidLastSave="{00000000-0000-0000-0000-000000000000}"/>
  <bookViews>
    <workbookView xWindow="28680" yWindow="-120" windowWidth="29040" windowHeight="16440" tabRatio="645" xr2:uid="{00000000-000D-0000-FFFF-FFFF00000000}"/>
  </bookViews>
  <sheets>
    <sheet name="metadata" sheetId="1" r:id="rId1"/>
    <sheet name="site" sheetId="2" r:id="rId2"/>
    <sheet name="profile" sheetId="3" r:id="rId3"/>
    <sheet name="flux" sheetId="8" r:id="rId4"/>
    <sheet name="layer" sheetId="4" r:id="rId5"/>
    <sheet name="interstitial" sheetId="9" r:id="rId6"/>
    <sheet name="fraction" sheetId="5" r:id="rId7"/>
    <sheet name="incubation" sheetId="7" r:id="rId8"/>
    <sheet name="controlled vocabulary" sheetId="6" r:id="rId9"/>
  </sheets>
  <definedNames>
    <definedName name="AgA">'controlled vocabulary'!$AU$12:$AU$16</definedName>
    <definedName name="AgP">'controlled vocabulary'!$AV$14:$AV$15</definedName>
    <definedName name="amino_acids">'controlled vocabulary'!#REF!</definedName>
    <definedName name="ChA">'controlled vocabulary'!$AU$17:$AU$36</definedName>
    <definedName name="ChP">'controlled vocabulary'!$AV$16:$AV$24</definedName>
    <definedName name="CoA">'controlled vocabulary'!$AU$41:$AU$43</definedName>
    <definedName name="CoP">'controlled vocabulary'!$AV$31:$AV$33</definedName>
    <definedName name="dataset_name">OFFSET(metadata!$A$1,3,0,COUNTA(metadata!$A:$A)-1,1)</definedName>
    <definedName name="DeA">'controlled vocabulary'!$AU$4:$AU$8</definedName>
    <definedName name="DeP">'controlled vocabulary'!$AV$4:$AV$6</definedName>
    <definedName name="Fractionation_Scheme">'controlled vocabulary'!$AT$4:$AT$11</definedName>
    <definedName name="i_moisture_type">'controlled vocabulary'!$AQ$4:$AQ$6</definedName>
    <definedName name="PaA">'controlled vocabulary'!$AU$9:$AU$11</definedName>
    <definedName name="PaP">'controlled vocabulary'!$AV$7:$AV$13</definedName>
    <definedName name="PhA">'controlled vocabulary'!$AU$37:$AU$38</definedName>
    <definedName name="PhP">'controlled vocabulary'!$AV$25:$AV$29</definedName>
    <definedName name="ThA">'controlled vocabulary'!$AU$39:$AU$40</definedName>
    <definedName name="ThP">'controlled vocabulary'!$AV$30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3" i="6" l="1"/>
  <c r="M3" i="6"/>
  <c r="L3" i="6"/>
</calcChain>
</file>

<file path=xl/sharedStrings.xml><?xml version="1.0" encoding="utf-8"?>
<sst xmlns="http://schemas.openxmlformats.org/spreadsheetml/2006/main" count="2330" uniqueCount="1105">
  <si>
    <t>curator_name</t>
  </si>
  <si>
    <t>curator_organization</t>
  </si>
  <si>
    <t>curator_email</t>
  </si>
  <si>
    <t>contact_name</t>
  </si>
  <si>
    <t>contact_email</t>
  </si>
  <si>
    <t>contact_orcid_id</t>
  </si>
  <si>
    <t>Curator Name</t>
  </si>
  <si>
    <t>Curator Organization</t>
  </si>
  <si>
    <t>Curator Email</t>
  </si>
  <si>
    <t>Additional Contact Name</t>
  </si>
  <si>
    <t>Additional Contact Email</t>
  </si>
  <si>
    <t>Contact ORCID ID Number</t>
  </si>
  <si>
    <t>Bibliographical Reference</t>
  </si>
  <si>
    <t>Author(s), Year, Article Title, Journal Title, Volume, Page Numbers</t>
  </si>
  <si>
    <t>site_name</t>
  </si>
  <si>
    <t>site_note</t>
  </si>
  <si>
    <t>Site Name</t>
  </si>
  <si>
    <t>Latitude</t>
  </si>
  <si>
    <t>Longitude</t>
  </si>
  <si>
    <t>Latitude/Longitude Datum</t>
  </si>
  <si>
    <t>Site Notes</t>
  </si>
  <si>
    <t>Elevation</t>
  </si>
  <si>
    <t>Site Aspect</t>
  </si>
  <si>
    <t>Site Aspect Class</t>
  </si>
  <si>
    <t>Slope</t>
  </si>
  <si>
    <t>Slope Shape</t>
  </si>
  <si>
    <t>Drainage Class</t>
  </si>
  <si>
    <t>Depth to Water Table</t>
  </si>
  <si>
    <t>NRCS Fieldbook Categories</t>
  </si>
  <si>
    <t>General Parent Material Chemistry</t>
  </si>
  <si>
    <t>Land Cover Category</t>
  </si>
  <si>
    <t>dec. deg</t>
  </si>
  <si>
    <t>(lat/long datum)</t>
  </si>
  <si>
    <t>m</t>
  </si>
  <si>
    <t>mm</t>
  </si>
  <si>
    <t>degree</t>
  </si>
  <si>
    <t>(direction)</t>
  </si>
  <si>
    <t>%</t>
  </si>
  <si>
    <t>(shape)</t>
  </si>
  <si>
    <t>(drainage_class)</t>
  </si>
  <si>
    <t>cm</t>
  </si>
  <si>
    <t>(parent_material)</t>
  </si>
  <si>
    <t>(parent_chem)</t>
  </si>
  <si>
    <t>species names</t>
  </si>
  <si>
    <t>(land_cover)</t>
  </si>
  <si>
    <t>g cm-2</t>
  </si>
  <si>
    <t>Profile Notes</t>
  </si>
  <si>
    <t>Profile Vegetation</t>
  </si>
  <si>
    <t>2D Position</t>
  </si>
  <si>
    <t>Depth to Bedrock</t>
  </si>
  <si>
    <t>Thaw Depth</t>
  </si>
  <si>
    <t>Reported Profile Soil Organic Carbon Stock</t>
  </si>
  <si>
    <t>Reported Profile Soil Organic Carbon Stock Standard Deviation</t>
  </si>
  <si>
    <t>Reported Profile Soil Organic Carbon Stock Depth</t>
  </si>
  <si>
    <t>(2d_position)</t>
  </si>
  <si>
    <t>rc_lab</t>
  </si>
  <si>
    <t>Layer Name</t>
  </si>
  <si>
    <t>Layer Top</t>
  </si>
  <si>
    <t>Layer Bottom</t>
  </si>
  <si>
    <t xml:space="preserve">Horizon </t>
  </si>
  <si>
    <t>Soil Layer or Horizon Notes</t>
  </si>
  <si>
    <t>Moist Munsell Color</t>
  </si>
  <si>
    <t>Evidence of Burning</t>
  </si>
  <si>
    <t>Bulk Density, Coarse Fragments Removed</t>
  </si>
  <si>
    <t>Bulk Density With Coarse Fragments</t>
  </si>
  <si>
    <t>Bulk Density Method or Other Notes</t>
  </si>
  <si>
    <t>Soil pH CaCl2</t>
  </si>
  <si>
    <t>Soil pH 1:1</t>
  </si>
  <si>
    <t>Percent Sand</t>
  </si>
  <si>
    <t>Percent Silt</t>
  </si>
  <si>
    <t>Percent Clay</t>
  </si>
  <si>
    <t>Coarse Fraction</t>
  </si>
  <si>
    <t>Coarse Fraction Size Threshold Used</t>
  </si>
  <si>
    <t>Texture Class</t>
  </si>
  <si>
    <t xml:space="preserve">Cation Exchange </t>
  </si>
  <si>
    <t>Sum of Bases</t>
  </si>
  <si>
    <t>Sum of Cation Exchange Capacity</t>
  </si>
  <si>
    <t>Effective Cation Exchange Capacity</t>
  </si>
  <si>
    <t>% Base Saturation</t>
  </si>
  <si>
    <t>Bulk Layer Reported Soil Organic Carbon Stock</t>
  </si>
  <si>
    <t>Bulk Layer Reported Soil Organic Carbon Stock Standard Deviation</t>
  </si>
  <si>
    <t>Bulk Layer Total Nitrogen</t>
  </si>
  <si>
    <t>Bulk Layer C:N</t>
  </si>
  <si>
    <t>Bulk Layer Loss on Ignition</t>
  </si>
  <si>
    <t>Bulk Layer δ15N</t>
  </si>
  <si>
    <t>Bulk Layer δ13C</t>
  </si>
  <si>
    <t>Radiocarbon Laboratory ID</t>
  </si>
  <si>
    <t>Radiocarbon Laboratory Sample Number</t>
  </si>
  <si>
    <t>Radiocarbon Analysis Year</t>
  </si>
  <si>
    <t>Bulk Layer Δ14C</t>
  </si>
  <si>
    <t>Bulk Layer Fraction Modern</t>
  </si>
  <si>
    <t>Microbial Biomass Method</t>
  </si>
  <si>
    <t>Raw Value</t>
  </si>
  <si>
    <t>Reported Value After Transformation</t>
  </si>
  <si>
    <t>Extractable Phosphorus</t>
  </si>
  <si>
    <t>Pyrophosphate Extractable Fe</t>
  </si>
  <si>
    <t>Pyrophosphate Extractable Al</t>
  </si>
  <si>
    <t>Pyrophosphate Extractable Si</t>
  </si>
  <si>
    <t>Pyrophosphate Extractable C</t>
  </si>
  <si>
    <t xml:space="preserve">Pyrophosphate Notes: Concentration, Extraction Time, Sequential or Parallel </t>
  </si>
  <si>
    <t>Oxalate Extractable Fe</t>
  </si>
  <si>
    <t>Oxalate Extractable Al</t>
  </si>
  <si>
    <t>Oxalate Extractable Si</t>
  </si>
  <si>
    <t>Oxalate Extractable C</t>
  </si>
  <si>
    <t xml:space="preserve">Oxalate Notes: Concentration, Extraction Time, Sequential or Parallel </t>
  </si>
  <si>
    <t>Hydroxylamine Extractable Fe</t>
  </si>
  <si>
    <t>Hydroxylamine Extractable Al</t>
  </si>
  <si>
    <t>Hydroxylamine Extractable Si</t>
  </si>
  <si>
    <t>Hydroxylamine Extractable C</t>
  </si>
  <si>
    <t xml:space="preserve">Hydroxylamine Notes: Concentration, Extraction Time, Sequential or Parallel </t>
  </si>
  <si>
    <t>Dithionite Extractable Fe</t>
  </si>
  <si>
    <t>Dithionite Extractable Al</t>
  </si>
  <si>
    <t>Dithionite Extractable Si</t>
  </si>
  <si>
    <t xml:space="preserve">Dithionite Notes: Concentration, Extraction Time, Sequential or Parallel </t>
  </si>
  <si>
    <t>Quartz Abundance</t>
  </si>
  <si>
    <t>Alkali Feldspar Abundance</t>
  </si>
  <si>
    <t>Plagioclase Feldspar Abundance</t>
  </si>
  <si>
    <t>Mica + Chlorite Abundance</t>
  </si>
  <si>
    <t>Enstatite + Augite + Diopside</t>
  </si>
  <si>
    <t>Olivine Abundance</t>
  </si>
  <si>
    <t>Volcanic Glass Abundance</t>
  </si>
  <si>
    <t>Kaolinite + Halloysite</t>
  </si>
  <si>
    <t>Gibbsite Abundance</t>
  </si>
  <si>
    <t>Goethite + Hematite + Magnetite + Lepidocrocite</t>
  </si>
  <si>
    <t>Imogolite + Allophane</t>
  </si>
  <si>
    <t>Ferrihydrite Abundance</t>
  </si>
  <si>
    <t>g cm-3</t>
  </si>
  <si>
    <t>(texture_class)</t>
  </si>
  <si>
    <t>cmol H+ kg-1</t>
  </si>
  <si>
    <t>meq 100g-1</t>
  </si>
  <si>
    <t>unitless</t>
  </si>
  <si>
    <t>‰</t>
  </si>
  <si>
    <t>YYYY</t>
  </si>
  <si>
    <t>(mbc_method)</t>
  </si>
  <si>
    <t>mgC/g</t>
  </si>
  <si>
    <t>mg/g</t>
  </si>
  <si>
    <t>Fraction Sample Name</t>
  </si>
  <si>
    <t>Fractionation Scheme</t>
  </si>
  <si>
    <t>Fraction Property</t>
  </si>
  <si>
    <t>Fractionation Scheme Units</t>
  </si>
  <si>
    <t>Lower Cutoff Numerical (e.g., density, diameter, days, etc.)</t>
  </si>
  <si>
    <t>Upper Cutoff Numerical (e.g., density, diameter, days, etc.)</t>
  </si>
  <si>
    <t>Concentration of Extractant</t>
  </si>
  <si>
    <t>Was Fraction a Composite?</t>
  </si>
  <si>
    <t>Fraction Notes</t>
  </si>
  <si>
    <t>Fraction Proportion of Sample Mass</t>
  </si>
  <si>
    <t>Fraction Total Carbon</t>
  </si>
  <si>
    <t>Fraction Organic Carbon</t>
  </si>
  <si>
    <t>Fraction Total Nitrogen</t>
  </si>
  <si>
    <t>Fraction 
C:N</t>
  </si>
  <si>
    <t>Fraction δ15N</t>
  </si>
  <si>
    <t>Fraction δ13C</t>
  </si>
  <si>
    <t>Fraction Δ14C</t>
  </si>
  <si>
    <t>Fraction Fraction Modern</t>
  </si>
  <si>
    <t>Mica + Chlorite</t>
  </si>
  <si>
    <t>(f_scheme)</t>
  </si>
  <si>
    <t>(f_property)</t>
  </si>
  <si>
    <t>(f_scheme_units)</t>
  </si>
  <si>
    <t>moles</t>
  </si>
  <si>
    <t>SITE</t>
  </si>
  <si>
    <t>PROFILE</t>
  </si>
  <si>
    <t>LAYER</t>
  </si>
  <si>
    <t>FRACTION</t>
  </si>
  <si>
    <t>NRCS</t>
  </si>
  <si>
    <t>AGD84</t>
  </si>
  <si>
    <t>N</t>
  </si>
  <si>
    <t>convergent</t>
  </si>
  <si>
    <t>bare</t>
  </si>
  <si>
    <t>excessively</t>
  </si>
  <si>
    <t>igneous intrusive</t>
  </si>
  <si>
    <t>mafic</t>
  </si>
  <si>
    <t>summit</t>
  </si>
  <si>
    <t>chloroform fumigation extraction</t>
  </si>
  <si>
    <t>g cm^-3</t>
  </si>
  <si>
    <t>ED50</t>
  </si>
  <si>
    <t>S</t>
  </si>
  <si>
    <t>divergent</t>
  </si>
  <si>
    <t>cultivated</t>
  </si>
  <si>
    <t>somewhat excessively</t>
  </si>
  <si>
    <t>igneous extrusive</t>
  </si>
  <si>
    <t>felsic</t>
  </si>
  <si>
    <t>shoulder</t>
  </si>
  <si>
    <t>loamy sand</t>
  </si>
  <si>
    <t>chloroform fumigation incubation</t>
  </si>
  <si>
    <t>ETRS89</t>
  </si>
  <si>
    <t>E</t>
  </si>
  <si>
    <t>planar</t>
  </si>
  <si>
    <t>forest</t>
  </si>
  <si>
    <t>well</t>
  </si>
  <si>
    <t>igneous pyroclastic</t>
  </si>
  <si>
    <t>intermediate</t>
  </si>
  <si>
    <t>backslope</t>
  </si>
  <si>
    <t>sandy loam</t>
  </si>
  <si>
    <t>substrate induced respiration</t>
  </si>
  <si>
    <t>M</t>
  </si>
  <si>
    <t>GRS80</t>
  </si>
  <si>
    <t>W</t>
  </si>
  <si>
    <t>rangeland/grassland</t>
  </si>
  <si>
    <t>moderately well</t>
  </si>
  <si>
    <t>metamorphic</t>
  </si>
  <si>
    <t>footslope</t>
  </si>
  <si>
    <t>loam</t>
  </si>
  <si>
    <t>total PLFA</t>
  </si>
  <si>
    <t>NAD83</t>
  </si>
  <si>
    <t>NE</t>
  </si>
  <si>
    <t>shrubland</t>
  </si>
  <si>
    <t>somewhat poorly</t>
  </si>
  <si>
    <t>sedimentary-clastics</t>
  </si>
  <si>
    <t>toeslope</t>
  </si>
  <si>
    <t>other</t>
  </si>
  <si>
    <t>wet sieve</t>
  </si>
  <si>
    <t>OSGB36</t>
  </si>
  <si>
    <t>NW</t>
  </si>
  <si>
    <t>urban</t>
  </si>
  <si>
    <t>poorly</t>
  </si>
  <si>
    <t>organic</t>
  </si>
  <si>
    <t>interfluve</t>
  </si>
  <si>
    <t>silty loam</t>
  </si>
  <si>
    <t>dry sieve</t>
  </si>
  <si>
    <t>um</t>
  </si>
  <si>
    <t>WGS84</t>
  </si>
  <si>
    <t>SE</t>
  </si>
  <si>
    <t>wetland</t>
  </si>
  <si>
    <t>very poorly</t>
  </si>
  <si>
    <t>evaporites</t>
  </si>
  <si>
    <t>sandy clay loam</t>
  </si>
  <si>
    <t>SW</t>
  </si>
  <si>
    <t>interbedded</t>
  </si>
  <si>
    <t>clay loam</t>
  </si>
  <si>
    <t>silty clay loam</t>
  </si>
  <si>
    <t>sandy clay</t>
  </si>
  <si>
    <t>silty clay</t>
  </si>
  <si>
    <t>Your organization</t>
  </si>
  <si>
    <t>Your email</t>
  </si>
  <si>
    <t>You (person entering data)</t>
  </si>
  <si>
    <t>Inorganic Carbon</t>
  </si>
  <si>
    <t>metadata_note</t>
  </si>
  <si>
    <t>Organic Carbon</t>
  </si>
  <si>
    <t>Total Carbon</t>
  </si>
  <si>
    <t>SPT</t>
  </si>
  <si>
    <t>residual</t>
  </si>
  <si>
    <t>manual</t>
  </si>
  <si>
    <t>clay</t>
  </si>
  <si>
    <t>roots</t>
  </si>
  <si>
    <t>carbonate</t>
  </si>
  <si>
    <t>Corresponding author of dataset</t>
  </si>
  <si>
    <t>Fraction Inorganic</t>
  </si>
  <si>
    <t xml:space="preserve">CaCl2 0.01M </t>
  </si>
  <si>
    <t>H2O 1:2</t>
  </si>
  <si>
    <t>H2O 1:1</t>
  </si>
  <si>
    <t xml:space="preserve">Colorimetric </t>
  </si>
  <si>
    <t>KCL 1M</t>
  </si>
  <si>
    <t xml:space="preserve">Soil pH </t>
  </si>
  <si>
    <t>Calcite + Dolomite Abundance</t>
  </si>
  <si>
    <t>Fraction Proportion of Total Layer Carbon</t>
  </si>
  <si>
    <t>(ph_method)</t>
  </si>
  <si>
    <t>Method Used to Measure pH</t>
  </si>
  <si>
    <t>Zeolite Abundance</t>
  </si>
  <si>
    <t>Chemical or Physical Agent for Fractionation</t>
  </si>
  <si>
    <t>rock type, etc.</t>
  </si>
  <si>
    <t>Exchangeable Calcium</t>
  </si>
  <si>
    <t>Exchangeable Sodium</t>
  </si>
  <si>
    <t>Exchangeable Magnesium</t>
  </si>
  <si>
    <t>Exchangeable Potassium</t>
  </si>
  <si>
    <t>Corresponding author email</t>
  </si>
  <si>
    <t>Corresponding author ORCID #</t>
  </si>
  <si>
    <t>Notes about dataset</t>
  </si>
  <si>
    <t>free light</t>
  </si>
  <si>
    <t>occluded light</t>
  </si>
  <si>
    <t>heavy</t>
  </si>
  <si>
    <t>days</t>
  </si>
  <si>
    <t>hours</t>
  </si>
  <si>
    <t>presence/absence</t>
  </si>
  <si>
    <t>H2O</t>
  </si>
  <si>
    <t>gravelly loam</t>
  </si>
  <si>
    <t>sand</t>
  </si>
  <si>
    <t>Mean Annual Temperature</t>
  </si>
  <si>
    <t>Mean Annual Precipitation</t>
  </si>
  <si>
    <t>field conditions</t>
  </si>
  <si>
    <t>rewetted</t>
  </si>
  <si>
    <t>gravimetric water content</t>
  </si>
  <si>
    <t>% field capacity</t>
  </si>
  <si>
    <t>&lt;2 weeks</t>
  </si>
  <si>
    <t>&lt;1 month</t>
  </si>
  <si>
    <t>&lt;1 year</t>
  </si>
  <si>
    <t>mgC/g dry soil/day</t>
  </si>
  <si>
    <t>mgC/gC soil/day</t>
  </si>
  <si>
    <t>°C</t>
  </si>
  <si>
    <t>Was sample rewetted or measured directly from field?</t>
  </si>
  <si>
    <t>Mean Annual Volumetric Soil Water Content</t>
  </si>
  <si>
    <t>Do data represent an average of multiple profiles? Enter number of replicates here</t>
  </si>
  <si>
    <t>treatment</t>
  </si>
  <si>
    <t>control</t>
  </si>
  <si>
    <t>Were data collected under natural site conditions ("control")? Or were treatments imposed ("treatment")?</t>
  </si>
  <si>
    <t>Incubation Fraction Modern</t>
  </si>
  <si>
    <t>Incubation Δ14C</t>
  </si>
  <si>
    <t>notes</t>
  </si>
  <si>
    <t>C</t>
  </si>
  <si>
    <t>Profile Name</t>
  </si>
  <si>
    <t>Flag if mineral interface is unknown and depth is measured from atmosphere interface</t>
  </si>
  <si>
    <t>Profile name</t>
  </si>
  <si>
    <t>(soil, stream, etc.)</t>
  </si>
  <si>
    <t>ist_phase</t>
  </si>
  <si>
    <t>ist_analyte</t>
  </si>
  <si>
    <t>ist_method</t>
  </si>
  <si>
    <t>ist_time_dur</t>
  </si>
  <si>
    <t>ist_temp</t>
  </si>
  <si>
    <t>ist_13c</t>
  </si>
  <si>
    <t>ist_13c_sd</t>
  </si>
  <si>
    <t>ist_rc_lab</t>
  </si>
  <si>
    <t>ist_rc_lab_number</t>
  </si>
  <si>
    <t>ist_rc_year</t>
  </si>
  <si>
    <t>ist_14c</t>
  </si>
  <si>
    <t>ist_14c_sigma</t>
  </si>
  <si>
    <t>ist_14c_sd</t>
  </si>
  <si>
    <t>ist_fraction_modern</t>
  </si>
  <si>
    <t>ist_fraction_modern_sigma</t>
  </si>
  <si>
    <t>ist_fraction_modern_sd</t>
  </si>
  <si>
    <t xml:space="preserve">Interstitial Phase </t>
  </si>
  <si>
    <t>Interstitial Source Temperature (soil at depth)</t>
  </si>
  <si>
    <t>Interstitial δ13C</t>
  </si>
  <si>
    <t>Interstitial δ13C Standard Deviation</t>
  </si>
  <si>
    <t>Interstitial Δ14C</t>
  </si>
  <si>
    <t>Interstitial Fraction Modern</t>
  </si>
  <si>
    <t>Interstitial Fraction Modern Standard Deviation (AMS Analytical)</t>
  </si>
  <si>
    <t>Interstitial Fraction Modern Standard Deviation (Sample; If replicates reported with mean value only)</t>
  </si>
  <si>
    <t>ist_source_O2</t>
  </si>
  <si>
    <t>ist_source_H2O</t>
  </si>
  <si>
    <t>ist_concentration</t>
  </si>
  <si>
    <t>ist_concentration_units</t>
  </si>
  <si>
    <t>author_year; author_year</t>
  </si>
  <si>
    <t>Author_year</t>
  </si>
  <si>
    <t>bibliographical_reference</t>
  </si>
  <si>
    <t>Additional Dataset Names (if multiple separate by semicolon)</t>
  </si>
  <si>
    <t>Notes on Parent Material/Chemistry</t>
  </si>
  <si>
    <t xml:space="preserve">Mean Annual Soil Temperature </t>
  </si>
  <si>
    <t>Ky</t>
  </si>
  <si>
    <t>Age (thousands of years)</t>
  </si>
  <si>
    <r>
      <t xml:space="preserve">Are </t>
    </r>
    <r>
      <rPr>
        <sz val="10"/>
        <color rgb="FF000000"/>
        <rFont val="Tahoma"/>
        <family val="2"/>
      </rPr>
      <t>p</t>
    </r>
    <r>
      <rPr>
        <sz val="10"/>
        <color rgb="FF000000"/>
        <rFont val="Tahoma"/>
        <family val="2"/>
      </rPr>
      <t xml:space="preserve">rofile </t>
    </r>
    <r>
      <rPr>
        <sz val="10"/>
        <color rgb="FF000000"/>
        <rFont val="Tahoma"/>
        <family val="2"/>
      </rPr>
      <t>d</t>
    </r>
    <r>
      <rPr>
        <sz val="10"/>
        <color rgb="FF000000"/>
        <rFont val="Tahoma"/>
        <family val="2"/>
      </rPr>
      <t xml:space="preserve">ata </t>
    </r>
    <r>
      <rPr>
        <sz val="10"/>
        <color rgb="FF000000"/>
        <rFont val="Tahoma"/>
        <family val="2"/>
      </rPr>
      <t>f</t>
    </r>
    <r>
      <rPr>
        <sz val="10"/>
        <color rgb="FF000000"/>
        <rFont val="Tahoma"/>
        <family val="2"/>
      </rPr>
      <t xml:space="preserve">rom </t>
    </r>
    <r>
      <rPr>
        <sz val="10"/>
        <color rgb="FF000000"/>
        <rFont val="Tahoma"/>
        <family val="2"/>
      </rPr>
      <t>c</t>
    </r>
    <r>
      <rPr>
        <sz val="10"/>
        <color rgb="FF000000"/>
        <rFont val="Tahoma"/>
        <family val="2"/>
      </rPr>
      <t xml:space="preserve">omposite 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ample?</t>
    </r>
  </si>
  <si>
    <r>
      <t xml:space="preserve">Notes on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 (e.g. warming, nutrient addition, etc)</t>
    </r>
  </si>
  <si>
    <t>Denote Sub-Site Grouping (e.g. plot)</t>
  </si>
  <si>
    <r>
      <t>(c</t>
    </r>
    <r>
      <rPr>
        <sz val="10"/>
        <color rgb="FF000000"/>
        <rFont val="Tahoma"/>
        <family val="2"/>
      </rPr>
      <t xml:space="preserve">ontrol or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</t>
    </r>
    <r>
      <rPr>
        <sz val="10"/>
        <color rgb="FF000000"/>
        <rFont val="Tahoma"/>
        <family val="2"/>
      </rPr>
      <t>)</t>
    </r>
  </si>
  <si>
    <t>(yes or blank)</t>
  </si>
  <si>
    <r>
      <rPr>
        <sz val="10"/>
        <color rgb="FF000000"/>
        <rFont val="Tahoma"/>
        <family val="2"/>
      </rPr>
      <t>n</t>
    </r>
    <r>
      <rPr>
        <sz val="10"/>
        <color rgb="FF000000"/>
        <rFont val="Tahoma"/>
        <family val="2"/>
      </rPr>
      <t>umber (1 if no replicates)</t>
    </r>
  </si>
  <si>
    <t>Standard Deviation of Observed Flux Rate (if average is reported)</t>
  </si>
  <si>
    <t>Rate of Observed Flux</t>
  </si>
  <si>
    <t>Water Content (if soil source)</t>
  </si>
  <si>
    <t>O2 Concentration (if aquatic source)</t>
  </si>
  <si>
    <t>Correction for Atmospheric Contamination (mixing model)</t>
  </si>
  <si>
    <t>Was source isotopic signature estimated? (no need for atm. correction)</t>
  </si>
  <si>
    <t>(burn or blank)</t>
  </si>
  <si>
    <t xml:space="preserve">Smectite (montmorillonite) + Vermicullite </t>
  </si>
  <si>
    <t>Amphibole (hornblende)</t>
  </si>
  <si>
    <t>Specify Units for P Data</t>
  </si>
  <si>
    <t>Specify Method for P</t>
  </si>
  <si>
    <r>
      <t>Bulk Layer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</si>
  <si>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</si>
  <si>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Bulk Layer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</si>
  <si>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</si>
  <si>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t>Bulk Layer Surface Area Measured by BET</t>
  </si>
  <si>
    <t>Are layer data from composite?</t>
  </si>
  <si>
    <t>Interstitial Δ14C Standard Deviation (sample; If replicates reported with mean value only)</t>
  </si>
  <si>
    <t>Interstitial Δ14C Standard Deviation (AMS analytical)</t>
  </si>
  <si>
    <t>Concentration of Analyte</t>
  </si>
  <si>
    <t>Interstitial Collection Method (pump or equilibrate, e.g. peeper)</t>
  </si>
  <si>
    <t>(gas, liquid, frozen)</t>
  </si>
  <si>
    <t>Associated Fraction Name (if applicable)</t>
  </si>
  <si>
    <t>inc_type</t>
  </si>
  <si>
    <t>inc_note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</si>
  <si>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</si>
  <si>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</si>
  <si>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_temp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</si>
  <si>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</si>
  <si>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</t>
    </r>
  </si>
  <si>
    <t>inc_C_respired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</si>
  <si>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_flux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</si>
  <si>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_13c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</si>
  <si>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</si>
  <si>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_rc_lab_number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</si>
  <si>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_rc_year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</si>
  <si>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</si>
  <si>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</si>
  <si>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_14c_sd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</si>
  <si>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</si>
  <si>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</si>
  <si>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_fraction_modern_sd</t>
    </r>
  </si>
  <si>
    <r>
      <t>Incubation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</si>
  <si>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</si>
  <si>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Incubation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</si>
  <si>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</si>
  <si>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rPr>
        <sz val="10"/>
        <color rgb="FF000000"/>
        <rFont val="Tahoma"/>
        <family val="2"/>
      </rPr>
      <t>incubation</t>
    </r>
    <r>
      <rPr>
        <sz val="10"/>
        <color rgb="FF000000"/>
        <rFont val="Tahoma"/>
        <family val="2"/>
      </rPr>
      <t xml:space="preserve"> δ13C</t>
    </r>
  </si>
  <si>
    <r>
      <t xml:space="preserve">% of </t>
    </r>
    <r>
      <rPr>
        <sz val="10"/>
        <color rgb="FF000000"/>
        <rFont val="Tahoma"/>
        <family val="2"/>
      </rPr>
      <t>Layer or Fraction Total</t>
    </r>
    <r>
      <rPr>
        <sz val="10"/>
        <color rgb="FF000000"/>
        <rFont val="Tahoma"/>
        <family val="2"/>
      </rPr>
      <t xml:space="preserve"> C </t>
    </r>
    <r>
      <rPr>
        <sz val="10"/>
        <color rgb="FF000000"/>
        <rFont val="Tahoma"/>
        <family val="2"/>
      </rPr>
      <t>R</t>
    </r>
    <r>
      <rPr>
        <sz val="10"/>
        <color rgb="FF000000"/>
        <rFont val="Tahoma"/>
        <family val="2"/>
      </rPr>
      <t xml:space="preserve">espired </t>
    </r>
    <r>
      <rPr>
        <sz val="10"/>
        <color rgb="FF000000"/>
        <rFont val="Tahoma"/>
        <family val="2"/>
      </rPr>
      <t>Over</t>
    </r>
    <r>
      <rPr>
        <sz val="10"/>
        <color rgb="FF000000"/>
        <rFont val="Tahoma"/>
        <family val="2"/>
      </rPr>
      <t xml:space="preserve"> </t>
    </r>
    <r>
      <rPr>
        <sz val="10"/>
        <color rgb="FF000000"/>
        <rFont val="Tahoma"/>
        <family val="2"/>
      </rPr>
      <t>I</t>
    </r>
    <r>
      <rPr>
        <sz val="10"/>
        <color rgb="FF000000"/>
        <rFont val="Tahoma"/>
        <family val="2"/>
      </rPr>
      <t>ncubation</t>
    </r>
    <r>
      <rPr>
        <sz val="10"/>
        <color rgb="FF000000"/>
        <rFont val="Tahoma"/>
        <family val="2"/>
      </rPr>
      <t xml:space="preserve"> Duration</t>
    </r>
  </si>
  <si>
    <r>
      <t xml:space="preserve">Measured </t>
    </r>
    <r>
      <rPr>
        <sz val="10"/>
        <color rgb="FF000000"/>
        <rFont val="Tahoma"/>
        <family val="2"/>
      </rPr>
      <t>CO2</t>
    </r>
    <r>
      <rPr>
        <sz val="10"/>
        <color rgb="FF000000"/>
        <rFont val="Tahoma"/>
        <family val="2"/>
      </rPr>
      <t xml:space="preserve"> F</t>
    </r>
    <r>
      <rPr>
        <sz val="10"/>
        <color rgb="FF000000"/>
        <rFont val="Tahoma"/>
        <family val="2"/>
      </rPr>
      <t>lux</t>
    </r>
    <r>
      <rPr>
        <sz val="10"/>
        <color rgb="FF000000"/>
        <rFont val="Tahoma"/>
        <family val="2"/>
      </rPr>
      <t xml:space="preserve"> Over Duration of Incubation</t>
    </r>
  </si>
  <si>
    <r>
      <t>Length of i</t>
    </r>
    <r>
      <rPr>
        <sz val="10"/>
        <color rgb="FF000000"/>
        <rFont val="Tahoma"/>
        <family val="2"/>
      </rPr>
      <t xml:space="preserve">ncubation </t>
    </r>
    <r>
      <rPr>
        <sz val="10"/>
        <color rgb="FF000000"/>
        <rFont val="Tahoma"/>
        <family val="2"/>
      </rPr>
      <t>prior to this s</t>
    </r>
    <r>
      <rPr>
        <sz val="10"/>
        <color rgb="FF000000"/>
        <rFont val="Tahoma"/>
        <family val="2"/>
      </rPr>
      <t xml:space="preserve">ample </t>
    </r>
    <r>
      <rPr>
        <sz val="10"/>
        <color rgb="FF000000"/>
        <rFont val="Tahoma"/>
        <family val="2"/>
      </rPr>
      <t>m</t>
    </r>
    <r>
      <rPr>
        <sz val="10"/>
        <color rgb="FF000000"/>
        <rFont val="Tahoma"/>
        <family val="2"/>
      </rPr>
      <t>easure</t>
    </r>
    <r>
      <rPr>
        <sz val="10"/>
        <color rgb="FF000000"/>
        <rFont val="Tahoma"/>
        <family val="2"/>
      </rPr>
      <t>ment</t>
    </r>
    <r>
      <rPr>
        <sz val="10"/>
        <color rgb="FF000000"/>
        <rFont val="Tahoma"/>
        <family val="2"/>
      </rPr>
      <t xml:space="preserve"> (</t>
    </r>
    <r>
      <rPr>
        <sz val="10"/>
        <color rgb="FF000000"/>
        <rFont val="Tahoma"/>
        <family val="2"/>
      </rPr>
      <t>not total duration)</t>
    </r>
  </si>
  <si>
    <t>Starting Layer (bulk) or Fraction for Fractionation Scheme</t>
  </si>
  <si>
    <t>Fraction Δ14C Standard Deviation (AMS analytical)</t>
  </si>
  <si>
    <t>Fraction Fraction Modern Standard Deviation (AMS analytical)</t>
  </si>
  <si>
    <t>Fraction Δ14C Standard Deviation (sample; if replicates reported with mean value only)</t>
  </si>
  <si>
    <t>Fraction Fraction Modern Standard Deviation (sample; if replicates reported with mean value only)</t>
  </si>
  <si>
    <t>associated_datasets</t>
  </si>
  <si>
    <t>site_lat</t>
  </si>
  <si>
    <t>site_long</t>
  </si>
  <si>
    <t>site_datum</t>
  </si>
  <si>
    <t>site_elevation</t>
  </si>
  <si>
    <t>flx_pathway</t>
  </si>
  <si>
    <t>flx_pathway_note</t>
  </si>
  <si>
    <t>flx_analyte</t>
  </si>
  <si>
    <t>flx_ecosystem_component</t>
  </si>
  <si>
    <t>flx_duration</t>
  </si>
  <si>
    <t>flx_keeling_plot</t>
  </si>
  <si>
    <t>flx_atm_correction</t>
  </si>
  <si>
    <t>flx_source_temp</t>
  </si>
  <si>
    <t>flx_source_O2</t>
  </si>
  <si>
    <t>flx_source_H2O</t>
  </si>
  <si>
    <t>flx_rate</t>
  </si>
  <si>
    <t>flx_rate_sd</t>
  </si>
  <si>
    <t>flx_rate_units</t>
  </si>
  <si>
    <t>flx_rc_lab</t>
  </si>
  <si>
    <t>flx_rc_lab_number</t>
  </si>
  <si>
    <t>flx_rc_year</t>
  </si>
  <si>
    <t>flx_14c</t>
  </si>
  <si>
    <t>flx_14c_sigma</t>
  </si>
  <si>
    <t>flx_14c_sd</t>
  </si>
  <si>
    <t>flx_fraction_modern</t>
  </si>
  <si>
    <t>flx_fraction_modern_sigma</t>
  </si>
  <si>
    <t>flx_fraction_modern_sd</t>
  </si>
  <si>
    <t>pro_note</t>
  </si>
  <si>
    <t>pro_name</t>
  </si>
  <si>
    <t>pro_lat</t>
  </si>
  <si>
    <t>pro_long</t>
  </si>
  <si>
    <r>
      <t>p</t>
    </r>
    <r>
      <rPr>
        <b/>
        <sz val="10"/>
        <color rgb="FFFF0000"/>
        <rFont val="Tahoma"/>
        <family val="2"/>
      </rPr>
      <t>ro</t>
    </r>
    <r>
      <rPr>
        <b/>
        <sz val="10"/>
        <color rgb="FFFF0000"/>
        <rFont val="Tahoma"/>
        <family val="2"/>
      </rPr>
      <t>_treatment</t>
    </r>
  </si>
  <si>
    <r>
      <rPr>
        <b/>
        <sz val="10"/>
        <color rgb="FF000000"/>
        <rFont val="Tahoma"/>
        <family val="2"/>
      </rPr>
      <t>pro</t>
    </r>
    <r>
      <rPr>
        <b/>
        <sz val="10"/>
        <color rgb="FF000000"/>
        <rFont val="Tahoma"/>
        <family val="2"/>
      </rPr>
      <t>_treatment_note</t>
    </r>
  </si>
  <si>
    <t>pro_comp</t>
  </si>
  <si>
    <t>pro_reps</t>
  </si>
  <si>
    <t>pro_MAT</t>
  </si>
  <si>
    <t>pro_MAP</t>
  </si>
  <si>
    <t>pro_soil_taxon</t>
  </si>
  <si>
    <t>pro_soil_series</t>
  </si>
  <si>
    <t>pro_soil_age</t>
  </si>
  <si>
    <t>pro_MAST</t>
  </si>
  <si>
    <t>pro_MASWC</t>
  </si>
  <si>
    <t>pro_land_cover</t>
  </si>
  <si>
    <t>pro_veg_note</t>
  </si>
  <si>
    <t>pro_bedrock_depth</t>
  </si>
  <si>
    <t>pro_depth_water</t>
  </si>
  <si>
    <t>pro_thaw_depth</t>
  </si>
  <si>
    <t>pro_parent_material</t>
  </si>
  <si>
    <t>pro_parent_chem</t>
  </si>
  <si>
    <t>pro_parent_material_notes</t>
  </si>
  <si>
    <t>pro_2d_position</t>
  </si>
  <si>
    <t>pro_aspect</t>
  </si>
  <si>
    <t>pro_aspect_deg</t>
  </si>
  <si>
    <t>pro_slope</t>
  </si>
  <si>
    <t>pro_slope_shape</t>
  </si>
  <si>
    <t>pro_drainage_class</t>
  </si>
  <si>
    <t>pro_soc</t>
  </si>
  <si>
    <t>pro_soc_sigma</t>
  </si>
  <si>
    <t>pro_soc_depth</t>
  </si>
  <si>
    <t>lyr_name</t>
  </si>
  <si>
    <t>lyr_all_org_neg</t>
  </si>
  <si>
    <t>lyr_top</t>
  </si>
  <si>
    <t>lyr_bot</t>
  </si>
  <si>
    <t>lyr_hzn</t>
  </si>
  <si>
    <t>lyr_comp</t>
  </si>
  <si>
    <t>lyr_note</t>
  </si>
  <si>
    <t>lyr_color</t>
  </si>
  <si>
    <t>lyr_burn_ev</t>
  </si>
  <si>
    <t>lyr_bd_samp</t>
  </si>
  <si>
    <t>lyr_bd_tot</t>
  </si>
  <si>
    <t>lyr_bd_notes</t>
  </si>
  <si>
    <t>lyr_sand_tot_psa</t>
  </si>
  <si>
    <t>lyr_silt_tot_psa</t>
  </si>
  <si>
    <t>lyr_clay_tot_psa</t>
  </si>
  <si>
    <t>lyr_coarse_tot</t>
  </si>
  <si>
    <t>lyr_coarse_size_thresh</t>
  </si>
  <si>
    <t>lyr_texture_class</t>
  </si>
  <si>
    <t>lyr_bet_surface_area</t>
  </si>
  <si>
    <t>lyr_ph_cacl</t>
  </si>
  <si>
    <t>lyr_ph_h2o</t>
  </si>
  <si>
    <t>lyr_ph</t>
  </si>
  <si>
    <t>lyr_ph_method</t>
  </si>
  <si>
    <t>lyr_cat_exch</t>
  </si>
  <si>
    <t>lyr_base_sum</t>
  </si>
  <si>
    <t>lyr_ca_exch</t>
  </si>
  <si>
    <t>lyr_na_exch</t>
  </si>
  <si>
    <t>lyr_mg_exch</t>
  </si>
  <si>
    <t>lyr_k_exch</t>
  </si>
  <si>
    <t>lyr_ecec</t>
  </si>
  <si>
    <t>lyr_c_inorg</t>
  </si>
  <si>
    <t>lyr_c_org</t>
  </si>
  <si>
    <t>lyr_c_tot</t>
  </si>
  <si>
    <t>lyr_soc</t>
  </si>
  <si>
    <t>lyr_soc_sigma</t>
  </si>
  <si>
    <t>lyr_n_tot</t>
  </si>
  <si>
    <t>lyr_c_to_n</t>
  </si>
  <si>
    <t>lyr_loi</t>
  </si>
  <si>
    <t>lyr_15n</t>
  </si>
  <si>
    <t>lyr_13c</t>
  </si>
  <si>
    <t>lyr_rc_lab</t>
  </si>
  <si>
    <t>lyr_rc_lab_number</t>
  </si>
  <si>
    <t>lyr_rc_year</t>
  </si>
  <si>
    <t>lyr_14c</t>
  </si>
  <si>
    <t>lyr_14c_sigma</t>
  </si>
  <si>
    <t>lyr_14c_sd</t>
  </si>
  <si>
    <t>lyr_fraction_modern</t>
  </si>
  <si>
    <t>lyr_fraction_modern_sigma</t>
  </si>
  <si>
    <t>lyr_fraction_modern_sd</t>
  </si>
  <si>
    <t>lyr_mbc_method</t>
  </si>
  <si>
    <t>lyr_raw_mbc</t>
  </si>
  <si>
    <t>lyr_reported_mbc</t>
  </si>
  <si>
    <t>lyr_p_method</t>
  </si>
  <si>
    <t>lyr_fe_py</t>
  </si>
  <si>
    <t>lyr_al_py</t>
  </si>
  <si>
    <t>lyr_si_py</t>
  </si>
  <si>
    <t>lyr_c_py</t>
  </si>
  <si>
    <t>lyr_py_notes</t>
  </si>
  <si>
    <t>lyr_fe_ox</t>
  </si>
  <si>
    <t>lyr_al_ox</t>
  </si>
  <si>
    <t>lyr_si_ox</t>
  </si>
  <si>
    <t>lyr_c_ox</t>
  </si>
  <si>
    <t>lyr_ox_notes</t>
  </si>
  <si>
    <t>lyr_fe_hy</t>
  </si>
  <si>
    <t>lyr_al_hy</t>
  </si>
  <si>
    <t>lyr_si_hy</t>
  </si>
  <si>
    <t>lyr_c_hy</t>
  </si>
  <si>
    <t>lyr_hy_notes</t>
  </si>
  <si>
    <t>lyr_fe_dith</t>
  </si>
  <si>
    <t>lyr_al_dith</t>
  </si>
  <si>
    <t>lyr_si_dith</t>
  </si>
  <si>
    <t>lyr_dith_notes</t>
  </si>
  <si>
    <t>lyr_quartz</t>
  </si>
  <si>
    <t>lyr_alkali_feldspar</t>
  </si>
  <si>
    <t>lyr_plag_feldspar</t>
  </si>
  <si>
    <t>lyr_mica_chlorite</t>
  </si>
  <si>
    <t>lyr_amphibole</t>
  </si>
  <si>
    <t>lyr_olivine</t>
  </si>
  <si>
    <t>lyr_volc_glass</t>
  </si>
  <si>
    <t>lyr_kaol_halloy</t>
  </si>
  <si>
    <t>lyr_smect_vermic</t>
  </si>
  <si>
    <t>lyr_gibbsite</t>
  </si>
  <si>
    <t>lyr_fe_oxides</t>
  </si>
  <si>
    <t>lyr_imog_alloph</t>
  </si>
  <si>
    <t>lyr_ferrihydrite</t>
  </si>
  <si>
    <t>lyr_calcite_dolomite</t>
  </si>
  <si>
    <t>lyr_zeolite</t>
  </si>
  <si>
    <t>lyr_non_bulk</t>
  </si>
  <si>
    <t>inc</t>
  </si>
  <si>
    <t>frc</t>
  </si>
  <si>
    <t>ist_depth</t>
  </si>
  <si>
    <t>Depth of Interstitial Measurement</t>
  </si>
  <si>
    <t>frc_name</t>
  </si>
  <si>
    <t>frc_input</t>
  </si>
  <si>
    <t>frc_property</t>
  </si>
  <si>
    <t>frc_scheme</t>
  </si>
  <si>
    <t>frc_scheme_units</t>
  </si>
  <si>
    <t>frc_lower</t>
  </si>
  <si>
    <t>frc_upper</t>
  </si>
  <si>
    <t>frc_agent</t>
  </si>
  <si>
    <t>frc_scheme_conc</t>
  </si>
  <si>
    <t>frc_comp</t>
  </si>
  <si>
    <t>frc_note</t>
  </si>
  <si>
    <t>frc_mass_perc</t>
  </si>
  <si>
    <t>frc_bet_surface_area</t>
  </si>
  <si>
    <t>frc_c_perc</t>
  </si>
  <si>
    <t>frc_c_tot</t>
  </si>
  <si>
    <t>frc_c_org</t>
  </si>
  <si>
    <t>frc_c_inorg</t>
  </si>
  <si>
    <t>frc_n_tot</t>
  </si>
  <si>
    <t>frc_c_to_n</t>
  </si>
  <si>
    <t>frc_15n</t>
  </si>
  <si>
    <t>frc_13c</t>
  </si>
  <si>
    <t>frc_rc_lab</t>
  </si>
  <si>
    <t>frc_rc_lab_number</t>
  </si>
  <si>
    <t>frc_rc_year</t>
  </si>
  <si>
    <t>frc_14c</t>
  </si>
  <si>
    <t>frc_14c_sigma</t>
  </si>
  <si>
    <t>frc_14c_sd</t>
  </si>
  <si>
    <t>frc_quartz</t>
  </si>
  <si>
    <t>frc_alkali_feldspar</t>
  </si>
  <si>
    <t>frc_plag_feldspar</t>
  </si>
  <si>
    <t>frc_mica_chlorite</t>
  </si>
  <si>
    <t>frc_amphibole</t>
  </si>
  <si>
    <t>frc_olivine</t>
  </si>
  <si>
    <t>frc_volc_glass</t>
  </si>
  <si>
    <t>frc_kaol_halloy</t>
  </si>
  <si>
    <t>frc_smect_vermic</t>
  </si>
  <si>
    <t>frc_gibbsite</t>
  </si>
  <si>
    <t>frc_fe_oxides</t>
  </si>
  <si>
    <t>frc_imog_alloph</t>
  </si>
  <si>
    <t>frc_ferrihydrite</t>
  </si>
  <si>
    <t>frc_zeolite</t>
  </si>
  <si>
    <t>(frc_name or layer_name)</t>
  </si>
  <si>
    <t>INCUBATION</t>
  </si>
  <si>
    <t>plot_name</t>
  </si>
  <si>
    <t>Profile Name (if flux associated with a profile)</t>
  </si>
  <si>
    <t>flx_lat</t>
  </si>
  <si>
    <t>flx_long</t>
  </si>
  <si>
    <t>Latitude (if distinct from profile)</t>
  </si>
  <si>
    <t>Longitude (if distinct from profile)</t>
  </si>
  <si>
    <t>FLUX</t>
  </si>
  <si>
    <t>INTERSTITIAL</t>
  </si>
  <si>
    <t>soil emission</t>
  </si>
  <si>
    <t>water evasion</t>
  </si>
  <si>
    <t>bubble ebullition</t>
  </si>
  <si>
    <t>plant mediated</t>
  </si>
  <si>
    <t>CO2</t>
  </si>
  <si>
    <t>CH4</t>
  </si>
  <si>
    <t>DOC</t>
  </si>
  <si>
    <t>POC</t>
  </si>
  <si>
    <t>DIC</t>
  </si>
  <si>
    <t>autotrophic</t>
  </si>
  <si>
    <t>heterotrophic</t>
  </si>
  <si>
    <t>ecosystem</t>
  </si>
  <si>
    <t>aquatic</t>
  </si>
  <si>
    <t>chamber</t>
  </si>
  <si>
    <t>pump</t>
  </si>
  <si>
    <t xml:space="preserve"> Heterotrophic, Autotrophic, Ecosystem, or Aquatic</t>
  </si>
  <si>
    <t>flx_storage_method</t>
  </si>
  <si>
    <t>vial</t>
  </si>
  <si>
    <t>exetainer</t>
  </si>
  <si>
    <t>flask</t>
  </si>
  <si>
    <t>chemical trap</t>
  </si>
  <si>
    <t>molecular sieve</t>
  </si>
  <si>
    <t>gas</t>
  </si>
  <si>
    <t>liquid</t>
  </si>
  <si>
    <t>frozen</t>
  </si>
  <si>
    <t>flx_method</t>
  </si>
  <si>
    <t>equilibrate</t>
  </si>
  <si>
    <t>ist_storage_method</t>
  </si>
  <si>
    <t>gasbag</t>
  </si>
  <si>
    <t>grab sample</t>
  </si>
  <si>
    <t xml:space="preserve"> e.g. CO2, CH4, DIC, DOC, POC</t>
  </si>
  <si>
    <t>ppm(v)</t>
  </si>
  <si>
    <t>% (v/v)</t>
  </si>
  <si>
    <t>nmol m-2 s-1</t>
  </si>
  <si>
    <t>µmol m-2 s-1</t>
  </si>
  <si>
    <t>Interstitial Duration</t>
  </si>
  <si>
    <t>entry_name</t>
  </si>
  <si>
    <t>Entry/Dataset Name</t>
  </si>
  <si>
    <t>tower</t>
  </si>
  <si>
    <t>Digital Object Identifier (DOI) Number</t>
  </si>
  <si>
    <t>doi</t>
  </si>
  <si>
    <t>pro_soil_taxon_sys</t>
  </si>
  <si>
    <t>Soil Series Name</t>
  </si>
  <si>
    <t>WRB</t>
  </si>
  <si>
    <t>USDA</t>
  </si>
  <si>
    <t>Mg C ha-1 yr-1</t>
  </si>
  <si>
    <t>mM L-1</t>
  </si>
  <si>
    <t>mg C L-1</t>
  </si>
  <si>
    <t>µg C m-2 s-1</t>
  </si>
  <si>
    <t>g C m-2 d-1</t>
  </si>
  <si>
    <t>kg C m-2 yr-1</t>
  </si>
  <si>
    <t>flx_method_note</t>
  </si>
  <si>
    <t>Sample Collection Method</t>
  </si>
  <si>
    <t>Specific Details About Flux Collection Method</t>
  </si>
  <si>
    <t>flx_duration_units</t>
  </si>
  <si>
    <t>mins</t>
  </si>
  <si>
    <t>hrs</t>
  </si>
  <si>
    <t>Flux δ13C</t>
  </si>
  <si>
    <t>Flux δ13C Standard Deviation</t>
  </si>
  <si>
    <t>Flux Δ14C</t>
  </si>
  <si>
    <t>Flux Δ14C Standard Deviation (AMS Analytical)</t>
  </si>
  <si>
    <t>Flux Δ14C Standard Deviation (Sample; If replicates reported with mean value only)</t>
  </si>
  <si>
    <t>Flux Fraction Modern</t>
  </si>
  <si>
    <t>Flux Fraction Modern Standard Deviation (AMS Analytical)</t>
  </si>
  <si>
    <t>Flux Fraction Modern Standard Deviation (Sample; If replicates reported with mean value only)</t>
  </si>
  <si>
    <t>inc/frc</t>
  </si>
  <si>
    <t>inc_13c_sd</t>
  </si>
  <si>
    <t>incubation δ13C Std Dev</t>
  </si>
  <si>
    <t>(inc_duration_type)</t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</si>
  <si>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</si>
  <si>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</si>
  <si>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_moisture_units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</si>
  <si>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_duration_type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</si>
  <si>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_flux_units</t>
    </r>
  </si>
  <si>
    <t>litter</t>
  </si>
  <si>
    <t>frc_fe_py</t>
  </si>
  <si>
    <t>frc_al_py</t>
  </si>
  <si>
    <t>frc_si_py</t>
  </si>
  <si>
    <t>frc_c_py</t>
  </si>
  <si>
    <t>frc_py_notes</t>
  </si>
  <si>
    <t>Pyrophosphate Extraction Notes</t>
  </si>
  <si>
    <t>mg g-1</t>
  </si>
  <si>
    <t>Duration of Collection Period</t>
  </si>
  <si>
    <t>Flux Duration Units</t>
  </si>
  <si>
    <t>Interstitial Storage Method (vial, exetainer, sieve, gasbag, flask, chemical trap)</t>
  </si>
  <si>
    <t>frc_mbc_method</t>
  </si>
  <si>
    <t>frc_raw_mbc</t>
  </si>
  <si>
    <t>frc_reported_mbc</t>
  </si>
  <si>
    <t>Measured Moisture (gravimetric)</t>
  </si>
  <si>
    <t>Units of Flux</t>
  </si>
  <si>
    <t>flx_13c</t>
  </si>
  <si>
    <t>flx_13c_sd</t>
  </si>
  <si>
    <t>atmosphere</t>
  </si>
  <si>
    <t>inc_obs_date_d</t>
  </si>
  <si>
    <t>inc_obs_date_y</t>
  </si>
  <si>
    <t>inc_obs_date_m</t>
  </si>
  <si>
    <t>yyyy</t>
  </si>
  <si>
    <t>dd</t>
  </si>
  <si>
    <r>
      <t xml:space="preserve">Observation </t>
    </r>
    <r>
      <rPr>
        <sz val="10"/>
        <color rgb="FF000000"/>
        <rFont val="Tahoma"/>
        <family val="2"/>
      </rPr>
      <t>Day</t>
    </r>
  </si>
  <si>
    <t>Observation Year</t>
  </si>
  <si>
    <t>Observation Month</t>
  </si>
  <si>
    <t>frc_obs_date_y</t>
  </si>
  <si>
    <t>frc_obs_date_m</t>
  </si>
  <si>
    <t>frc_obs_date_d</t>
  </si>
  <si>
    <t>ist_obs_date_y</t>
  </si>
  <si>
    <t>ist_obs_date_m</t>
  </si>
  <si>
    <t>ist_obs_date_d</t>
  </si>
  <si>
    <t>lyr_obs_date_y</t>
  </si>
  <si>
    <t>lyr_obs_date_m</t>
  </si>
  <si>
    <t>lyr_obs_date_d</t>
  </si>
  <si>
    <t>flx_obs_date_y</t>
  </si>
  <si>
    <t>flx_obs_date_m</t>
  </si>
  <si>
    <t>flx_obs_date_d</t>
  </si>
  <si>
    <t>modification_date_y</t>
  </si>
  <si>
    <t>modification_date_m</t>
  </si>
  <si>
    <t>modification_date_d</t>
  </si>
  <si>
    <t>Template Modification Year</t>
  </si>
  <si>
    <t>Template Modification Month</t>
  </si>
  <si>
    <t>Template Modification Day</t>
  </si>
  <si>
    <t>inc_ecosystem_component</t>
  </si>
  <si>
    <t>soil</t>
  </si>
  <si>
    <t>inc_flux_units</t>
  </si>
  <si>
    <t>Material Incubated</t>
  </si>
  <si>
    <t>soil w/ dead roots</t>
  </si>
  <si>
    <t>soil w/ live roots</t>
  </si>
  <si>
    <t>live roots</t>
  </si>
  <si>
    <t>dead roots</t>
  </si>
  <si>
    <t>root-picked soil</t>
  </si>
  <si>
    <t>inc_moisture_units</t>
  </si>
  <si>
    <t>Incubation Moisture Units</t>
  </si>
  <si>
    <t>(inc_moisture_units)</t>
  </si>
  <si>
    <t>compilation_doi</t>
  </si>
  <si>
    <t>DOI of Published Compiliation</t>
  </si>
  <si>
    <t>lyr_cec_sum</t>
  </si>
  <si>
    <t>lyr_bs</t>
  </si>
  <si>
    <t>lyr_p_ext</t>
  </si>
  <si>
    <t>lyr_p_units</t>
  </si>
  <si>
    <t>lyr_pyroxine</t>
  </si>
  <si>
    <t>frc_fe_ox</t>
  </si>
  <si>
    <t>frc_al_ox</t>
  </si>
  <si>
    <t>frc_si_ox</t>
  </si>
  <si>
    <t>frc_c_ox</t>
  </si>
  <si>
    <t>frc_ox_notes</t>
  </si>
  <si>
    <t>frc_fe_hy</t>
  </si>
  <si>
    <t>frc_al_hy</t>
  </si>
  <si>
    <t>frc_si_hy</t>
  </si>
  <si>
    <t>frc_c_hy</t>
  </si>
  <si>
    <t>frc_hy_notes</t>
  </si>
  <si>
    <t>frc_fe_dith</t>
  </si>
  <si>
    <t>frc_al_dith</t>
  </si>
  <si>
    <t>frc_si_dith</t>
  </si>
  <si>
    <t>frc_pyroxine</t>
  </si>
  <si>
    <t>dissolved</t>
  </si>
  <si>
    <t>suspended</t>
  </si>
  <si>
    <t>(flx_analyte)</t>
  </si>
  <si>
    <t>Flux Pathway</t>
  </si>
  <si>
    <t>(flx_pathway)</t>
  </si>
  <si>
    <t>(flx_ecosystem_component)</t>
  </si>
  <si>
    <r>
      <rPr>
        <sz val="11"/>
        <color rgb="FF000000"/>
        <rFont val="Calibri"/>
        <family val="2"/>
      </rPr>
      <t>(flx_method)</t>
    </r>
  </si>
  <si>
    <t>Chemical Species/Unit Analyzed</t>
  </si>
  <si>
    <r>
      <rPr>
        <sz val="11"/>
        <color rgb="FF000000"/>
        <rFont val="Calibri"/>
        <family val="2"/>
      </rPr>
      <t>(flx_storage_method)</t>
    </r>
  </si>
  <si>
    <t>Sample Storage Method</t>
  </si>
  <si>
    <t>gas bag</t>
  </si>
  <si>
    <t>(flx_duration_units)</t>
  </si>
  <si>
    <t>(flx_rate_units)</t>
  </si>
  <si>
    <r>
      <rPr>
        <b/>
        <sz val="10"/>
        <color rgb="FF000000"/>
        <rFont val="Calibri"/>
        <family val="2"/>
      </rPr>
      <t>pro_</t>
    </r>
    <r>
      <rPr>
        <b/>
        <sz val="10"/>
        <color rgb="FF000000"/>
        <rFont val="Calibri"/>
        <family val="2"/>
      </rPr>
      <t>treatment</t>
    </r>
  </si>
  <si>
    <t>(pro_soil_taxon_sys)</t>
  </si>
  <si>
    <t>yes</t>
  </si>
  <si>
    <t>burn</t>
  </si>
  <si>
    <r>
      <t>&gt;1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Calibri"/>
        <family val="2"/>
      </rPr>
      <t>year</t>
    </r>
  </si>
  <si>
    <t>Layer name</t>
  </si>
  <si>
    <t>macrofossil</t>
  </si>
  <si>
    <t>tundra</t>
  </si>
  <si>
    <t>loess</t>
  </si>
  <si>
    <t>pH</t>
  </si>
  <si>
    <t>template_version</t>
  </si>
  <si>
    <t>inc_name</t>
  </si>
  <si>
    <t>Incubation name (use for replicates)</t>
  </si>
  <si>
    <t>ist_name</t>
  </si>
  <si>
    <t>Interstitial name</t>
  </si>
  <si>
    <t>flx_name</t>
  </si>
  <si>
    <t>Flux name</t>
  </si>
  <si>
    <t>pro_elevation</t>
  </si>
  <si>
    <t>frc_fraction_modern</t>
  </si>
  <si>
    <t>frc_fraction_modern_sigma</t>
  </si>
  <si>
    <t>frc_fraction_modern_sd</t>
  </si>
  <si>
    <t>pro_usda_soil_order</t>
  </si>
  <si>
    <t>Soil Order in USDA Taxonomy</t>
  </si>
  <si>
    <t>(pro_usda_soil_order)</t>
  </si>
  <si>
    <t>Soil Taxonomic System (use for text in pro_soil_taxon field)</t>
  </si>
  <si>
    <t>Additonal Soil Taxonomic Descriptors (e.g. more specific USDA or WRB)</t>
  </si>
  <si>
    <t>Alfisols</t>
  </si>
  <si>
    <t>Andisols</t>
  </si>
  <si>
    <t>Aridisols</t>
  </si>
  <si>
    <t>Entisols</t>
  </si>
  <si>
    <t>Gelisols</t>
  </si>
  <si>
    <t>Histosols</t>
  </si>
  <si>
    <t>Inceptisols</t>
  </si>
  <si>
    <t>Mollisols</t>
  </si>
  <si>
    <t>Oxisols</t>
  </si>
  <si>
    <t>Spodosols</t>
  </si>
  <si>
    <t>Ultisols</t>
  </si>
  <si>
    <t>Vertisols</t>
  </si>
  <si>
    <t>lyr_fe_al_py</t>
  </si>
  <si>
    <t>Sum of Pyrophosphate Extractable Fe and Al</t>
  </si>
  <si>
    <t>lyr_noncrystalline_ox</t>
  </si>
  <si>
    <t>Total Non-Crystalline Mineral Content</t>
  </si>
  <si>
    <t>% or 101/102/102 for "+/++/+++"</t>
  </si>
  <si>
    <t>frc_noncrystalline_ox</t>
  </si>
  <si>
    <t>Total Non-Crystalline Mineral Content Extracted with Oxalate</t>
  </si>
  <si>
    <t>frc_fe_al_py</t>
  </si>
  <si>
    <t>flx_notes</t>
  </si>
  <si>
    <t>Miscellaneous Notes</t>
  </si>
  <si>
    <t>ist_notes</t>
  </si>
  <si>
    <t>ist_all_org_neg</t>
  </si>
  <si>
    <t>lyr_son</t>
  </si>
  <si>
    <t>lyr_p_tot</t>
  </si>
  <si>
    <t>lyr_p_stock</t>
  </si>
  <si>
    <t>total P concentration</t>
  </si>
  <si>
    <t>pro_complete</t>
  </si>
  <si>
    <t>pro_NPP</t>
  </si>
  <si>
    <t>NPP</t>
  </si>
  <si>
    <t>g C m-2 yr-1</t>
  </si>
  <si>
    <t>lyr_color_dry</t>
  </si>
  <si>
    <t>Dry Munsell Color</t>
  </si>
  <si>
    <t>lyr_ha_fa</t>
  </si>
  <si>
    <t>pro_chrono_name</t>
  </si>
  <si>
    <t>pro_soil_age_note</t>
  </si>
  <si>
    <t>lyr_fill_notes_extra</t>
  </si>
  <si>
    <t>lyr_bd_samp_fill_extra</t>
  </si>
  <si>
    <t>lyr_c_org_fill_extra</t>
  </si>
  <si>
    <t>lyr_soc_fill_extra</t>
  </si>
  <si>
    <t>lyr_14c_fill_extra</t>
  </si>
  <si>
    <t>Expert Estimated Bulk Density, Coarse Fragments Removed</t>
  </si>
  <si>
    <t>Expert Estimated Organic Carbon</t>
  </si>
  <si>
    <t>Expert Estimated Bulk Layer Soil Organic Carbon Stock</t>
  </si>
  <si>
    <t>Expert Estimated Bulk Layer Δ14C</t>
  </si>
  <si>
    <t>Expert Estimation Notes</t>
  </si>
  <si>
    <t>Template Version Date</t>
  </si>
  <si>
    <t>yyyymmddhh (UTC)</t>
  </si>
  <si>
    <t>Denote Chronosequence Grouping</t>
  </si>
  <si>
    <t>Notes on Soil Age or Chronosequence</t>
  </si>
  <si>
    <t>Complete Profile Flag</t>
  </si>
  <si>
    <t>Bulk Layer Soil Organic Nitrogen Stock</t>
  </si>
  <si>
    <t>Ratio of Layer C in Humic Acids:Fulvic Acids</t>
  </si>
  <si>
    <t>Bulk Layer P Stock (w/o coarse fragments)</t>
  </si>
  <si>
    <t>pro_lc_phenology</t>
  </si>
  <si>
    <t>pro_lc_leaf_type</t>
  </si>
  <si>
    <t>pro_lc_photosyn_path</t>
  </si>
  <si>
    <t>deciduous</t>
  </si>
  <si>
    <t>broadleaf</t>
  </si>
  <si>
    <t>C3</t>
  </si>
  <si>
    <t>evergreen</t>
  </si>
  <si>
    <t>needleleaf</t>
  </si>
  <si>
    <t>C4</t>
  </si>
  <si>
    <t>mixed</t>
  </si>
  <si>
    <t>CAM</t>
  </si>
  <si>
    <t>Forest or Shrubland Phenology (leave blank if unknown)</t>
  </si>
  <si>
    <t>Forest Leaf Morphology (leave blank if unknown)</t>
  </si>
  <si>
    <t>Photosynthetic Pathway (leave blank if unknown)</t>
  </si>
  <si>
    <t>(phenology)</t>
  </si>
  <si>
    <t>(leaf type)</t>
  </si>
  <si>
    <t>(photosynthetic pathway)</t>
  </si>
  <si>
    <t>pro_treatment</t>
  </si>
  <si>
    <t>numeric</t>
  </si>
  <si>
    <t>(ist_analyte)</t>
  </si>
  <si>
    <t>(ist_method)</t>
  </si>
  <si>
    <t>(ist_storage_method)</t>
  </si>
  <si>
    <t>(ist_concentration_units)</t>
  </si>
  <si>
    <t>pro_catchment_area</t>
  </si>
  <si>
    <t>pro_permafrost</t>
  </si>
  <si>
    <t>pro_thermokarst</t>
  </si>
  <si>
    <t>pro_deforested</t>
  </si>
  <si>
    <t>pro_water_body</t>
  </si>
  <si>
    <t>pro_water_body_name</t>
  </si>
  <si>
    <t>Catchment area</t>
  </si>
  <si>
    <t>Permafrost Present</t>
  </si>
  <si>
    <t>Thermokarst Present</t>
  </si>
  <si>
    <t>Deforested Percentage</t>
  </si>
  <si>
    <t>km^2</t>
  </si>
  <si>
    <t>Water Body Type (e.g. lake, mainstem, tributary, etc.)</t>
  </si>
  <si>
    <t>Water Body Name (group identifier for aquatic profiles)</t>
  </si>
  <si>
    <t>flx_analyte_conc</t>
  </si>
  <si>
    <t>Analyte Concentration</t>
  </si>
  <si>
    <t>flx_discharge_rate</t>
  </si>
  <si>
    <t>flx_aquatic_ph</t>
  </si>
  <si>
    <t>flx_aquatic_cond</t>
  </si>
  <si>
    <t>Discharge Rate</t>
  </si>
  <si>
    <t>Conductivity</t>
  </si>
  <si>
    <t>mgC L-1</t>
  </si>
  <si>
    <t>m3 s-1</t>
  </si>
  <si>
    <t>microS cm-1</t>
  </si>
  <si>
    <t>flx_2h</t>
  </si>
  <si>
    <t>Deuterium</t>
  </si>
  <si>
    <t>δ18O</t>
  </si>
  <si>
    <t>flx_18o</t>
  </si>
  <si>
    <t>ist_18o</t>
  </si>
  <si>
    <t>ist_2h</t>
  </si>
  <si>
    <t>inc_analyte</t>
  </si>
  <si>
    <t>inc_anaerobic</t>
  </si>
  <si>
    <t>Incubation Analyte</t>
  </si>
  <si>
    <t>Anaerobic Incubation Conditions</t>
  </si>
  <si>
    <t>(inc_analyte)</t>
  </si>
  <si>
    <t>TOC</t>
  </si>
  <si>
    <t>lyr_coarse_density</t>
  </si>
  <si>
    <t>Density of Coarse Fraction</t>
  </si>
  <si>
    <t>fibric</t>
  </si>
  <si>
    <t>sapric</t>
  </si>
  <si>
    <t>hemic</t>
  </si>
  <si>
    <t>lyr_igsn</t>
  </si>
  <si>
    <t>International Geo Sample Number</t>
  </si>
  <si>
    <t>silt</t>
  </si>
  <si>
    <t>pro_peatland</t>
  </si>
  <si>
    <t>Peatland Present</t>
  </si>
  <si>
    <t>degrees C</t>
  </si>
  <si>
    <t>thermal</t>
  </si>
  <si>
    <t>lyr_basal</t>
  </si>
  <si>
    <t>Flag if basal layer of peat profile</t>
  </si>
  <si>
    <t>density</t>
  </si>
  <si>
    <t>particle size</t>
  </si>
  <si>
    <t>aggregate</t>
  </si>
  <si>
    <t>chemical</t>
  </si>
  <si>
    <t>compound specific</t>
  </si>
  <si>
    <t>sodium iodide</t>
  </si>
  <si>
    <t>water</t>
  </si>
  <si>
    <t>silt+sand</t>
  </si>
  <si>
    <t>silt+clay</t>
  </si>
  <si>
    <t>microaggregate</t>
  </si>
  <si>
    <t>macroaggregate</t>
  </si>
  <si>
    <t>wet then dry</t>
  </si>
  <si>
    <t>dry then wet </t>
  </si>
  <si>
    <t>hydrochloric acid</t>
  </si>
  <si>
    <t>extracted</t>
  </si>
  <si>
    <t>hydrofluoric acid</t>
  </si>
  <si>
    <t>sodium hydroxide</t>
  </si>
  <si>
    <t>sodium pyrophosphate</t>
  </si>
  <si>
    <t>pyrogenic C</t>
  </si>
  <si>
    <t>hydroxylamine</t>
  </si>
  <si>
    <t>humic acid</t>
  </si>
  <si>
    <t>dithinonite</t>
  </si>
  <si>
    <t>fulvic acid</t>
  </si>
  <si>
    <t>ammonium oxalate</t>
  </si>
  <si>
    <t>humin</t>
  </si>
  <si>
    <t>hydrogen peroxide</t>
  </si>
  <si>
    <t>chromic acid</t>
  </si>
  <si>
    <t>potassium chloride</t>
  </si>
  <si>
    <t>photo-oxidation</t>
  </si>
  <si>
    <t>acid extraction (other)</t>
  </si>
  <si>
    <t>base extraction (other)</t>
  </si>
  <si>
    <t>salt (other)</t>
  </si>
  <si>
    <t>PLFA</t>
  </si>
  <si>
    <t>chloroform fumigation</t>
  </si>
  <si>
    <t>lyophilization</t>
  </si>
  <si>
    <t>microbial residues</t>
  </si>
  <si>
    <t>pyrolysis</t>
  </si>
  <si>
    <t>oxidation</t>
  </si>
  <si>
    <t>HPLC</t>
  </si>
  <si>
    <t>amino acids</t>
  </si>
  <si>
    <t>GC</t>
  </si>
  <si>
    <t>carbohydrates</t>
  </si>
  <si>
    <t>bulk separation</t>
  </si>
  <si>
    <t>lipids</t>
  </si>
  <si>
    <t>frc_aggregate_dis</t>
  </si>
  <si>
    <t>no</t>
  </si>
  <si>
    <t>sonication</t>
  </si>
  <si>
    <t>hexametaphosphate</t>
  </si>
  <si>
    <t>physical</t>
  </si>
  <si>
    <t>physical (other)</t>
  </si>
  <si>
    <t>petrogenic C</t>
  </si>
  <si>
    <t>Aggregate disruption</t>
  </si>
  <si>
    <t>frc_aba</t>
  </si>
  <si>
    <t>percent</t>
  </si>
  <si>
    <t>oxidant (other)</t>
  </si>
  <si>
    <t>potassium sulfate</t>
  </si>
  <si>
    <t>plant material (non-root)</t>
  </si>
  <si>
    <t>(frc_aggregate_dis)</t>
  </si>
  <si>
    <t>density (other)</t>
  </si>
  <si>
    <t>lithium polytungstate</t>
  </si>
  <si>
    <t>gravity</t>
  </si>
  <si>
    <t>fine</t>
  </si>
  <si>
    <t>coarse</t>
  </si>
  <si>
    <t>chemical (other)</t>
  </si>
  <si>
    <t>Acid, Base, or Sequential Acid and Base Pretreatment of Macrofossils</t>
  </si>
  <si>
    <t>combined acid/base</t>
  </si>
  <si>
    <t>**Colors link agents and properties to schemes**</t>
  </si>
  <si>
    <t>frc_dith_notes</t>
  </si>
  <si>
    <t>lyr_org_buried</t>
  </si>
  <si>
    <t>Buried Organic Horizon</t>
  </si>
  <si>
    <t>Billings_2024</t>
  </si>
  <si>
    <t>10.1007/s10533-024-01177-5</t>
  </si>
  <si>
    <t>Nate Looker</t>
  </si>
  <si>
    <t>Stanford</t>
  </si>
  <si>
    <t>ntlooker@gmail.com</t>
  </si>
  <si>
    <t>Sharon Billings</t>
  </si>
  <si>
    <t>sharonb@ku.edu</t>
  </si>
  <si>
    <t>https://orcid.org/0000-0003-1611-526X</t>
  </si>
  <si>
    <t>Billings, S.A., Brecheisen, Z., Cherkinsky, A., Lehmeier, C., Cook, C.W., Markewitz, D., Souza, L.F.T., Reuman, D., Richter, D.D., 2024, Persistent biogeochemical signals of land-use driven, deep root losses illuminated by C and O isotopes of soil CO2 and O2</t>
  </si>
  <si>
    <t>Calhoun</t>
  </si>
  <si>
    <t>Richter_1999</t>
  </si>
  <si>
    <t>R1H1</t>
  </si>
  <si>
    <t>R1C1</t>
  </si>
  <si>
    <t>R1C2</t>
  </si>
  <si>
    <t>R1C3</t>
  </si>
  <si>
    <t>R1P1</t>
  </si>
  <si>
    <t>R1P3</t>
  </si>
  <si>
    <t>R1T2</t>
  </si>
  <si>
    <t>R1T5</t>
  </si>
  <si>
    <t>R1T7</t>
  </si>
  <si>
    <t>R4H1</t>
  </si>
  <si>
    <t>R4P1</t>
  </si>
  <si>
    <t>R7H1</t>
  </si>
  <si>
    <t>R7P1</t>
  </si>
  <si>
    <t>Profile location set to vegetation plot location from Brecheisen, Z. S., C. W. Cook, D. d. Richter (2021). CCZO -- GIS/Map Data -- Research Areas -- Calhoun Critical Zone Observatory -- (2014-2018), HydroShare, http://www.hydroshare.org/resource/b134a93a92ba482abc5176e029a6687a</t>
  </si>
  <si>
    <t>Kanhapludults</t>
  </si>
  <si>
    <t>Pinus taeda, Pinus echinata</t>
  </si>
  <si>
    <t>Quercus alba, Quercus rubra, Carya spp.</t>
  </si>
  <si>
    <t>Helianthus annuus, winter wheat, sorghum</t>
  </si>
  <si>
    <t>granite gneiss</t>
  </si>
  <si>
    <t>R1C1_0.5_20160801</t>
  </si>
  <si>
    <t>R1C1_1.5_20160801</t>
  </si>
  <si>
    <t>R1C1_3_20160801</t>
  </si>
  <si>
    <t>R1C1_5_20160801</t>
  </si>
  <si>
    <t>R1C1_0.5_20180222</t>
  </si>
  <si>
    <t>R1C1_1.5_20180222</t>
  </si>
  <si>
    <t>R1C1_3_20180222</t>
  </si>
  <si>
    <t>R1C1_5_20180222</t>
  </si>
  <si>
    <t>R1C2_0.5_20160801</t>
  </si>
  <si>
    <t>R1C2_1.5_20160801</t>
  </si>
  <si>
    <t>R1C2_3_20160801</t>
  </si>
  <si>
    <t>R1C2_5_20160801</t>
  </si>
  <si>
    <t>R1C2_0.5_20180222</t>
  </si>
  <si>
    <t>R1C2_1.5_20180222</t>
  </si>
  <si>
    <t>R1C2_3_20180222</t>
  </si>
  <si>
    <t>R1C2_5_20180222</t>
  </si>
  <si>
    <t>R1C2_1.5_20210323</t>
  </si>
  <si>
    <t>R1C2_5_20210323</t>
  </si>
  <si>
    <t>R1C3_0.5_20160801</t>
  </si>
  <si>
    <t>R1C3_1.5_20160801</t>
  </si>
  <si>
    <t>R1C3_3_20160801</t>
  </si>
  <si>
    <t>R1C3_5_20160801</t>
  </si>
  <si>
    <t>R1C3_0.5_20180222</t>
  </si>
  <si>
    <t>R1C3_3_20180222</t>
  </si>
  <si>
    <t>R1C3_5_20180222</t>
  </si>
  <si>
    <t>R1C3_0.5_20210323</t>
  </si>
  <si>
    <t>R1C3_1.5_20210323</t>
  </si>
  <si>
    <t>R1C3_5_20210323</t>
  </si>
  <si>
    <t>R1H1_1.5_20160801</t>
  </si>
  <si>
    <t>R1H1_3_20160801</t>
  </si>
  <si>
    <t>R1H1_5_20160801</t>
  </si>
  <si>
    <t>R1H1_0.5_20180222</t>
  </si>
  <si>
    <t>R1H1_1.5_20180222</t>
  </si>
  <si>
    <t>R1H1_3_20180222</t>
  </si>
  <si>
    <t>R1H1_5_20180222</t>
  </si>
  <si>
    <t>R1H1_1.5_20210323</t>
  </si>
  <si>
    <t>R1H1_5_20210323</t>
  </si>
  <si>
    <t>R1P1_0.5_20160801</t>
  </si>
  <si>
    <t>R1P1_1.5_20160801</t>
  </si>
  <si>
    <t>R1P1_3_20160801</t>
  </si>
  <si>
    <t>R1P1_5_20160801</t>
  </si>
  <si>
    <t>R1P1_0.5_20180222</t>
  </si>
  <si>
    <t>R1P1_1.5_20180222</t>
  </si>
  <si>
    <t>R1P1_3_20180222</t>
  </si>
  <si>
    <t>R1P1_5_20180222</t>
  </si>
  <si>
    <t>R1P3_1.5_20210323</t>
  </si>
  <si>
    <t>R1T2_5_20160801</t>
  </si>
  <si>
    <t>R1T2_5_20180222</t>
  </si>
  <si>
    <t>R1T5_1.5_20210323</t>
  </si>
  <si>
    <t>R1T7_1.5_20210323</t>
  </si>
  <si>
    <t>R4H1_0.5_20160801</t>
  </si>
  <si>
    <t>R4H1_1.5_20160801</t>
  </si>
  <si>
    <t>R4H1_3_20160801</t>
  </si>
  <si>
    <t>R4H1_5_20160801</t>
  </si>
  <si>
    <t>R4H1_0.5_20180222</t>
  </si>
  <si>
    <t>R4H1_1.5_20180222</t>
  </si>
  <si>
    <t>R4H1_3_20180222</t>
  </si>
  <si>
    <t>R4H1_5_20180222</t>
  </si>
  <si>
    <t>R4P1_0.5_20160801</t>
  </si>
  <si>
    <t>R4P1_1.5_20160801</t>
  </si>
  <si>
    <t>R4P1_3_20160801</t>
  </si>
  <si>
    <t>R4P1_5_20160801</t>
  </si>
  <si>
    <t>R4P1_0.5_20180222</t>
  </si>
  <si>
    <t>R4P1_1.5_20180222</t>
  </si>
  <si>
    <t>R4P1_3_20180222</t>
  </si>
  <si>
    <t>R4P1_5_20180222</t>
  </si>
  <si>
    <t>R4P1_1.5_20210323</t>
  </si>
  <si>
    <t>R7H1_0.5_20160801</t>
  </si>
  <si>
    <t>R7H1_1.5_20160801</t>
  </si>
  <si>
    <t>R7H1_3_20160801</t>
  </si>
  <si>
    <t>R7H1_5_20160801</t>
  </si>
  <si>
    <t>R7H1_0.5_20180222</t>
  </si>
  <si>
    <t>R7H1_1.5_20180222</t>
  </si>
  <si>
    <t>R7H1_3_20180222</t>
  </si>
  <si>
    <t>R7H1_5_20180222</t>
  </si>
  <si>
    <t>R7H1_3_20210323</t>
  </si>
  <si>
    <t>R7P1_0.5_20160801</t>
  </si>
  <si>
    <t>R7P1_1.5_20160801</t>
  </si>
  <si>
    <t>R7P1_3_20160801</t>
  </si>
  <si>
    <t>R7P1_5_20160801</t>
  </si>
  <si>
    <t>R7P1_0.5_20180222</t>
  </si>
  <si>
    <t>R7P1_1.5_20180222</t>
  </si>
  <si>
    <t>R7P1_3_20180222</t>
  </si>
  <si>
    <t>R7P1_5_20180222</t>
  </si>
  <si>
    <t>UGAMS</t>
  </si>
  <si>
    <t>Note: Coordinates unavailable for R1P3; used coordinates for R1P2. Profile location set to vegetation plot location from Brecheisen, Z. S., C. W. Cook, D. d. Richter (2021). CCZO -- GIS/Map Data -- Research Areas -- Calhoun Critical Zone Observatory -- (2014-2018), HydroShare, http://www.hydroshare.org/resource/b134a93a92ba482abc5176e029a6687a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</si>
</sst>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0"/>
      <color rgb="FF000000"/>
      <name val="Tahoma"/>
      <family val="2"/>
    </font>
    <font>
      <b/>
      <sz val="10"/>
      <name val="Tahoma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0"/>
      <color rgb="FFFF0000"/>
      <name val="Tahoma"/>
      <family val="2"/>
    </font>
    <font>
      <b/>
      <i/>
      <sz val="10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Calibri"/>
      <family val="2"/>
    </font>
    <font>
      <i/>
      <sz val="10"/>
      <color rgb="FF000000"/>
      <name val="Calibri"/>
      <family val="2"/>
    </font>
    <font>
      <u/>
      <sz val="11"/>
      <color theme="11"/>
      <name val="Calibri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11"/>
      <color rgb="FF000000"/>
      <name val="Calibri"/>
      <family val="2"/>
      <charset val="238"/>
    </font>
    <font>
      <u/>
      <sz val="11"/>
      <color theme="10"/>
      <name val="Calibri"/>
      <family val="2"/>
      <charset val="238"/>
    </font>
    <font>
      <sz val="10"/>
      <name val="Arial"/>
      <family val="2"/>
    </font>
    <font>
      <sz val="11"/>
      <color theme="10"/>
      <name val="Calibri"/>
      <family val="2"/>
    </font>
    <font>
      <sz val="10"/>
      <color indexed="206"/>
      <name val="Calibri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A5A5A5"/>
      </patternFill>
    </fill>
    <fill>
      <patternFill patternType="solid">
        <fgColor theme="9" tint="0.79998168889431442"/>
        <bgColor rgb="FFBFBFBF"/>
      </patternFill>
    </fill>
    <fill>
      <patternFill patternType="solid">
        <fgColor theme="9" tint="0.79998168889431442"/>
        <bgColor rgb="FFD8D8D8"/>
      </patternFill>
    </fill>
    <fill>
      <patternFill patternType="solid">
        <fgColor theme="8" tint="0.79998168889431442"/>
        <bgColor rgb="FFA5A5A5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7" tint="0.79998168889431442"/>
        <bgColor rgb="FFBFBFBF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A5A5A5"/>
      </patternFill>
    </fill>
    <fill>
      <patternFill patternType="solid">
        <fgColor theme="6" tint="0.79998168889431442"/>
        <bgColor rgb="FFA5A5A5"/>
      </patternFill>
    </fill>
    <fill>
      <patternFill patternType="solid">
        <fgColor theme="6" tint="0.79998168889431442"/>
        <bgColor rgb="FFBFBFBF"/>
      </patternFill>
    </fill>
    <fill>
      <patternFill patternType="solid">
        <fgColor theme="6" tint="0.79998168889431442"/>
        <bgColor rgb="FFD8D8D8"/>
      </patternFill>
    </fill>
    <fill>
      <patternFill patternType="solid">
        <fgColor theme="5" tint="0.79998168889431442"/>
        <bgColor rgb="FFA5A5A5"/>
      </patternFill>
    </fill>
    <fill>
      <patternFill patternType="solid">
        <fgColor theme="5" tint="0.79998168889431442"/>
        <bgColor rgb="FFBFBFBF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4" tint="0.79998168889431442"/>
        <bgColor rgb="FFA5A5A5"/>
      </patternFill>
    </fill>
    <fill>
      <patternFill patternType="solid">
        <fgColor theme="4" tint="0.79998168889431442"/>
        <bgColor rgb="FFBFBFBF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2" tint="-9.9978637043366805E-2"/>
        <bgColor rgb="FFA5A5A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FBFBF"/>
      </patternFill>
    </fill>
    <fill>
      <patternFill patternType="solid">
        <fgColor theme="2" tint="-9.9978637043366805E-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5E0EE"/>
        <bgColor indexed="64"/>
      </patternFill>
    </fill>
    <fill>
      <patternFill patternType="solid">
        <fgColor rgb="FFD5E0EE"/>
        <bgColor rgb="FFD8D8D8"/>
      </patternFill>
    </fill>
    <fill>
      <patternFill patternType="solid">
        <fgColor rgb="FFFFEE10"/>
        <bgColor rgb="FFA5A5A5"/>
      </patternFill>
    </fill>
    <fill>
      <patternFill patternType="solid">
        <fgColor rgb="FFFFEE10"/>
        <bgColor rgb="FFBFBFBF"/>
      </patternFill>
    </fill>
    <fill>
      <patternFill patternType="solid">
        <fgColor rgb="FFFFEE10"/>
        <bgColor rgb="FFD8D8D8"/>
      </patternFill>
    </fill>
    <fill>
      <patternFill patternType="solid">
        <fgColor theme="0"/>
        <bgColor rgb="FFFF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08">
    <xf numFmtId="0" fontId="0" fillId="0" borderId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24" fillId="0" borderId="0"/>
    <xf numFmtId="0" fontId="25" fillId="0" borderId="0" applyNumberFormat="0" applyFill="0" applyBorder="0" applyAlignment="0" applyProtection="0"/>
    <xf numFmtId="0" fontId="26" fillId="0" borderId="0"/>
    <xf numFmtId="0" fontId="1" fillId="0" borderId="0"/>
    <xf numFmtId="0" fontId="1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80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1" xfId="0" applyBorder="1"/>
    <xf numFmtId="0" fontId="12" fillId="5" borderId="1" xfId="0" applyFont="1" applyFill="1" applyBorder="1" applyAlignment="1">
      <alignment horizontal="left" vertical="top" wrapText="1" readingOrder="1"/>
    </xf>
    <xf numFmtId="0" fontId="5" fillId="0" borderId="1" xfId="0" applyFont="1" applyBorder="1" applyAlignment="1">
      <alignment wrapText="1"/>
    </xf>
    <xf numFmtId="0" fontId="0" fillId="5" borderId="1" xfId="0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4" fillId="0" borderId="1" xfId="0" applyFont="1" applyBorder="1"/>
    <xf numFmtId="0" fontId="14" fillId="5" borderId="1" xfId="0" applyFont="1" applyFill="1" applyBorder="1"/>
    <xf numFmtId="0" fontId="5" fillId="5" borderId="1" xfId="0" applyFont="1" applyFill="1" applyBorder="1" applyAlignment="1">
      <alignment wrapText="1"/>
    </xf>
    <xf numFmtId="0" fontId="5" fillId="0" borderId="1" xfId="0" applyFont="1" applyBorder="1"/>
    <xf numFmtId="0" fontId="5" fillId="0" borderId="1" xfId="0" applyFont="1" applyBorder="1" applyAlignment="1">
      <alignment horizontal="left" wrapText="1" readingOrder="1"/>
    </xf>
    <xf numFmtId="0" fontId="18" fillId="0" borderId="0" xfId="0" applyFont="1"/>
    <xf numFmtId="0" fontId="4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top" wrapText="1" readingOrder="1"/>
    </xf>
    <xf numFmtId="0" fontId="6" fillId="2" borderId="1" xfId="0" applyFont="1" applyFill="1" applyBorder="1" applyAlignment="1">
      <alignment horizontal="center"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0" fontId="3" fillId="6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 vertical="top" wrapText="1" readingOrder="1"/>
    </xf>
    <xf numFmtId="0" fontId="0" fillId="9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center" vertical="top" wrapText="1" readingOrder="1"/>
    </xf>
    <xf numFmtId="0" fontId="12" fillId="4" borderId="1" xfId="0" applyFont="1" applyFill="1" applyBorder="1" applyAlignment="1">
      <alignment horizontal="center" vertical="center" wrapText="1" readingOrder="1"/>
    </xf>
    <xf numFmtId="0" fontId="4" fillId="4" borderId="1" xfId="0" applyFont="1" applyFill="1" applyBorder="1" applyAlignment="1">
      <alignment horizontal="center" vertical="center" wrapText="1" readingOrder="1"/>
    </xf>
    <xf numFmtId="0" fontId="17" fillId="7" borderId="1" xfId="0" applyFont="1" applyFill="1" applyBorder="1" applyAlignment="1">
      <alignment horizontal="center" vertical="top" wrapText="1" readingOrder="1"/>
    </xf>
    <xf numFmtId="0" fontId="4" fillId="7" borderId="1" xfId="0" applyFont="1" applyFill="1" applyBorder="1" applyAlignment="1">
      <alignment horizontal="center" vertical="top" wrapText="1" readingOrder="1"/>
    </xf>
    <xf numFmtId="0" fontId="4" fillId="8" borderId="1" xfId="0" applyFont="1" applyFill="1" applyBorder="1" applyAlignment="1">
      <alignment horizontal="center" vertical="center" wrapText="1" readingOrder="1"/>
    </xf>
    <xf numFmtId="0" fontId="17" fillId="8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 wrapText="1" readingOrder="1"/>
    </xf>
    <xf numFmtId="0" fontId="2" fillId="21" borderId="1" xfId="0" applyFont="1" applyFill="1" applyBorder="1" applyAlignment="1">
      <alignment horizontal="center" vertical="center" wrapText="1" readingOrder="1"/>
    </xf>
    <xf numFmtId="0" fontId="2" fillId="24" borderId="1" xfId="0" applyFont="1" applyFill="1" applyBorder="1" applyAlignment="1">
      <alignment horizontal="center" vertical="center" wrapText="1" readingOrder="1"/>
    </xf>
    <xf numFmtId="0" fontId="2" fillId="30" borderId="1" xfId="0" applyFont="1" applyFill="1" applyBorder="1" applyAlignment="1">
      <alignment horizontal="center" vertical="center" wrapText="1" readingOrder="1"/>
    </xf>
    <xf numFmtId="0" fontId="2" fillId="31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 vertical="top" wrapText="1" readingOrder="1"/>
    </xf>
    <xf numFmtId="0" fontId="12" fillId="16" borderId="1" xfId="0" applyFont="1" applyFill="1" applyBorder="1" applyAlignment="1">
      <alignment horizontal="center" vertical="top" wrapText="1" readingOrder="1"/>
    </xf>
    <xf numFmtId="0" fontId="4" fillId="16" borderId="1" xfId="0" applyFont="1" applyFill="1" applyBorder="1" applyAlignment="1">
      <alignment horizontal="center" vertical="top" wrapText="1" readingOrder="1"/>
    </xf>
    <xf numFmtId="0" fontId="4" fillId="18" borderId="1" xfId="0" applyFont="1" applyFill="1" applyBorder="1" applyAlignment="1">
      <alignment horizontal="center" vertical="top" wrapText="1" readingOrder="1"/>
    </xf>
    <xf numFmtId="0" fontId="4" fillId="22" borderId="1" xfId="0" applyFont="1" applyFill="1" applyBorder="1" applyAlignment="1">
      <alignment horizontal="center" vertical="top" wrapText="1" readingOrder="1"/>
    </xf>
    <xf numFmtId="0" fontId="17" fillId="22" borderId="1" xfId="0" applyFont="1" applyFill="1" applyBorder="1" applyAlignment="1">
      <alignment horizontal="center" vertical="top" wrapText="1" readingOrder="1"/>
    </xf>
    <xf numFmtId="0" fontId="4" fillId="25" borderId="1" xfId="0" applyFont="1" applyFill="1" applyBorder="1" applyAlignment="1">
      <alignment horizontal="center" vertical="top" wrapText="1" readingOrder="1"/>
    </xf>
    <xf numFmtId="0" fontId="4" fillId="28" borderId="1" xfId="0" applyFont="1" applyFill="1" applyBorder="1" applyAlignment="1">
      <alignment horizontal="center" vertical="top" wrapText="1" readingOrder="1"/>
    </xf>
    <xf numFmtId="0" fontId="4" fillId="28" borderId="1" xfId="0" applyFont="1" applyFill="1" applyBorder="1" applyAlignment="1">
      <alignment horizontal="center" vertical="top" wrapText="1"/>
    </xf>
    <xf numFmtId="0" fontId="4" fillId="32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 wrapText="1"/>
    </xf>
    <xf numFmtId="0" fontId="17" fillId="35" borderId="1" xfId="0" applyFont="1" applyFill="1" applyBorder="1" applyAlignment="1">
      <alignment horizontal="center" vertical="top" wrapText="1"/>
    </xf>
    <xf numFmtId="0" fontId="4" fillId="14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4" fillId="17" borderId="1" xfId="0" applyFont="1" applyFill="1" applyBorder="1" applyAlignment="1">
      <alignment horizontal="center" vertical="center" wrapText="1" readingOrder="1"/>
    </xf>
    <xf numFmtId="0" fontId="4" fillId="19" borderId="1" xfId="0" applyFont="1" applyFill="1" applyBorder="1" applyAlignment="1">
      <alignment horizontal="center" vertical="center" wrapText="1" readingOrder="1"/>
    </xf>
    <xf numFmtId="0" fontId="4" fillId="23" borderId="1" xfId="0" applyFont="1" applyFill="1" applyBorder="1" applyAlignment="1">
      <alignment horizontal="center" vertical="center" wrapText="1" readingOrder="1"/>
    </xf>
    <xf numFmtId="0" fontId="4" fillId="26" borderId="1" xfId="0" applyFont="1" applyFill="1" applyBorder="1" applyAlignment="1">
      <alignment horizontal="center" vertical="center" wrapText="1" readingOrder="1"/>
    </xf>
    <xf numFmtId="0" fontId="4" fillId="29" borderId="1" xfId="0" applyFont="1" applyFill="1" applyBorder="1" applyAlignment="1">
      <alignment horizontal="center" vertical="center" wrapText="1" readingOrder="1"/>
    </xf>
    <xf numFmtId="0" fontId="4" fillId="33" borderId="1" xfId="0" applyFont="1" applyFill="1" applyBorder="1" applyAlignment="1">
      <alignment horizontal="center" vertical="center" wrapText="1" readingOrder="1"/>
    </xf>
    <xf numFmtId="0" fontId="17" fillId="23" borderId="1" xfId="0" applyFont="1" applyFill="1" applyBorder="1" applyAlignment="1">
      <alignment horizontal="center" vertical="center" wrapText="1" readingOrder="1"/>
    </xf>
    <xf numFmtId="0" fontId="6" fillId="6" borderId="1" xfId="0" applyFont="1" applyFill="1" applyBorder="1" applyAlignment="1">
      <alignment horizontal="center" vertical="center" wrapText="1" readingOrder="1"/>
    </xf>
    <xf numFmtId="0" fontId="3" fillId="20" borderId="1" xfId="0" applyFont="1" applyFill="1" applyBorder="1" applyAlignment="1">
      <alignment horizontal="center" vertical="center" wrapText="1" readingOrder="1"/>
    </xf>
    <xf numFmtId="0" fontId="3" fillId="21" borderId="1" xfId="0" applyFont="1" applyFill="1" applyBorder="1" applyAlignment="1">
      <alignment horizontal="center" vertical="center" wrapText="1" readingOrder="1"/>
    </xf>
    <xf numFmtId="0" fontId="2" fillId="34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center" wrapText="1" readingOrder="1"/>
    </xf>
    <xf numFmtId="0" fontId="7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top" wrapText="1"/>
    </xf>
    <xf numFmtId="0" fontId="9" fillId="4" borderId="0" xfId="0" applyFont="1" applyFill="1" applyAlignment="1">
      <alignment horizontal="center" vertical="top" wrapText="1"/>
    </xf>
    <xf numFmtId="0" fontId="10" fillId="4" borderId="0" xfId="0" applyFont="1" applyFill="1" applyAlignment="1">
      <alignment horizontal="center" vertical="top"/>
    </xf>
    <xf numFmtId="1" fontId="2" fillId="15" borderId="1" xfId="0" applyNumberFormat="1" applyFont="1" applyFill="1" applyBorder="1" applyAlignment="1">
      <alignment horizontal="center" vertical="center" wrapText="1" readingOrder="1"/>
    </xf>
    <xf numFmtId="1" fontId="4" fillId="16" borderId="1" xfId="0" applyNumberFormat="1" applyFont="1" applyFill="1" applyBorder="1" applyAlignment="1">
      <alignment horizontal="center" vertical="top" wrapText="1" readingOrder="1"/>
    </xf>
    <xf numFmtId="1" fontId="4" fillId="17" borderId="1" xfId="0" applyNumberFormat="1" applyFont="1" applyFill="1" applyBorder="1" applyAlignment="1">
      <alignment horizontal="center" vertical="center" wrapText="1" readingOrder="1"/>
    </xf>
    <xf numFmtId="0" fontId="0" fillId="37" borderId="1" xfId="0" applyFill="1" applyBorder="1" applyAlignment="1">
      <alignment horizontal="center" wrapText="1"/>
    </xf>
    <xf numFmtId="0" fontId="0" fillId="37" borderId="1" xfId="0" applyFill="1" applyBorder="1" applyAlignment="1">
      <alignment horizontal="center"/>
    </xf>
    <xf numFmtId="0" fontId="0" fillId="3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4" fillId="4" borderId="2" xfId="0" applyFont="1" applyFill="1" applyBorder="1" applyAlignment="1">
      <alignment horizontal="center" vertical="center" wrapText="1"/>
    </xf>
    <xf numFmtId="0" fontId="19" fillId="37" borderId="1" xfId="0" applyFont="1" applyFill="1" applyBorder="1" applyAlignment="1">
      <alignment horizontal="center" vertical="center" wrapText="1"/>
    </xf>
    <xf numFmtId="0" fontId="19" fillId="3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1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center" vertical="top" wrapText="1"/>
    </xf>
    <xf numFmtId="0" fontId="4" fillId="35" borderId="1" xfId="0" applyFont="1" applyFill="1" applyBorder="1" applyAlignment="1">
      <alignment horizontal="center" vertical="top" wrapText="1"/>
    </xf>
    <xf numFmtId="0" fontId="19" fillId="38" borderId="1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 vertical="center" wrapText="1" readingOrder="1"/>
    </xf>
    <xf numFmtId="0" fontId="3" fillId="2" borderId="3" xfId="0" applyFont="1" applyFill="1" applyBorder="1" applyAlignment="1">
      <alignment horizontal="center" vertical="center" wrapText="1" readingOrder="1"/>
    </xf>
    <xf numFmtId="0" fontId="21" fillId="37" borderId="1" xfId="0" applyFont="1" applyFill="1" applyBorder="1" applyAlignment="1">
      <alignment horizontal="center" vertical="center" wrapText="1"/>
    </xf>
    <xf numFmtId="0" fontId="4" fillId="40" borderId="1" xfId="0" applyFont="1" applyFill="1" applyBorder="1" applyAlignment="1">
      <alignment horizontal="center" vertical="center" wrapText="1" readingOrder="1"/>
    </xf>
    <xf numFmtId="0" fontId="22" fillId="39" borderId="1" xfId="0" applyFont="1" applyFill="1" applyBorder="1" applyAlignment="1">
      <alignment horizontal="center" vertical="center" wrapText="1"/>
    </xf>
    <xf numFmtId="0" fontId="22" fillId="39" borderId="1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center" wrapText="1" readingOrder="1"/>
    </xf>
    <xf numFmtId="0" fontId="23" fillId="2" borderId="1" xfId="0" applyFont="1" applyFill="1" applyBorder="1" applyAlignment="1">
      <alignment horizontal="center" vertical="center" wrapText="1" readingOrder="1"/>
    </xf>
    <xf numFmtId="0" fontId="12" fillId="4" borderId="4" xfId="0" applyFont="1" applyFill="1" applyBorder="1" applyAlignment="1">
      <alignment horizontal="center" vertical="center" wrapText="1" readingOrder="1"/>
    </xf>
    <xf numFmtId="0" fontId="0" fillId="10" borderId="1" xfId="0" applyFill="1" applyBorder="1" applyAlignment="1">
      <alignment horizontal="center" vertical="center"/>
    </xf>
    <xf numFmtId="0" fontId="17" fillId="35" borderId="1" xfId="0" applyFont="1" applyFill="1" applyBorder="1" applyAlignment="1">
      <alignment horizontal="center" vertical="center" wrapText="1"/>
    </xf>
    <xf numFmtId="0" fontId="4" fillId="35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 readingOrder="1"/>
    </xf>
    <xf numFmtId="1" fontId="4" fillId="3" borderId="1" xfId="0" applyNumberFormat="1" applyFont="1" applyFill="1" applyBorder="1" applyAlignment="1">
      <alignment horizontal="center" vertical="top" wrapText="1" readingOrder="1"/>
    </xf>
    <xf numFmtId="1" fontId="4" fillId="4" borderId="1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1" fontId="5" fillId="0" borderId="1" xfId="0" applyNumberFormat="1" applyFont="1" applyBorder="1" applyAlignment="1">
      <alignment wrapText="1"/>
    </xf>
    <xf numFmtId="1" fontId="5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 readingOrder="1"/>
    </xf>
    <xf numFmtId="1" fontId="0" fillId="0" borderId="4" xfId="0" applyNumberFormat="1" applyBorder="1"/>
    <xf numFmtId="1" fontId="13" fillId="0" borderId="1" xfId="0" applyNumberFormat="1" applyFont="1" applyBorder="1" applyAlignment="1">
      <alignment wrapText="1"/>
    </xf>
    <xf numFmtId="1" fontId="14" fillId="0" borderId="1" xfId="0" applyNumberFormat="1" applyFont="1" applyBorder="1"/>
    <xf numFmtId="1" fontId="0" fillId="0" borderId="0" xfId="0" applyNumberFormat="1"/>
    <xf numFmtId="1" fontId="5" fillId="0" borderId="1" xfId="0" applyNumberFormat="1" applyFont="1" applyBorder="1" applyAlignment="1">
      <alignment horizontal="left" wrapText="1" readingOrder="1"/>
    </xf>
    <xf numFmtId="0" fontId="15" fillId="21" borderId="1" xfId="189" applyFill="1" applyBorder="1" applyAlignment="1">
      <alignment horizontal="center" vertical="center" wrapText="1" readingOrder="1"/>
    </xf>
    <xf numFmtId="0" fontId="0" fillId="37" borderId="1" xfId="0" applyFill="1" applyBorder="1" applyAlignment="1">
      <alignment horizontal="center" vertical="center" wrapText="1"/>
    </xf>
    <xf numFmtId="0" fontId="0" fillId="37" borderId="1" xfId="0" applyFill="1" applyBorder="1" applyAlignment="1">
      <alignment horizontal="center" vertical="top" wrapText="1"/>
    </xf>
    <xf numFmtId="0" fontId="20" fillId="37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7" borderId="1" xfId="0" applyFill="1" applyBorder="1" applyAlignment="1">
      <alignment horizontal="center" vertical="center"/>
    </xf>
    <xf numFmtId="0" fontId="24" fillId="0" borderId="1" xfId="251" applyBorder="1"/>
    <xf numFmtId="1" fontId="5" fillId="0" borderId="1" xfId="251" applyNumberFormat="1" applyFont="1" applyBorder="1" applyAlignment="1">
      <alignment horizontal="left" wrapText="1" readingOrder="1"/>
    </xf>
    <xf numFmtId="0" fontId="5" fillId="0" borderId="1" xfId="251" applyFont="1" applyBorder="1" applyAlignment="1">
      <alignment horizontal="left" wrapText="1" readingOrder="1"/>
    </xf>
    <xf numFmtId="0" fontId="13" fillId="0" borderId="1" xfId="251" applyFont="1" applyBorder="1"/>
    <xf numFmtId="0" fontId="4" fillId="0" borderId="1" xfId="251" applyFont="1" applyBorder="1" applyAlignment="1">
      <alignment horizontal="left" vertical="top" wrapText="1" readingOrder="1"/>
    </xf>
    <xf numFmtId="0" fontId="5" fillId="0" borderId="1" xfId="251" applyFont="1" applyBorder="1"/>
    <xf numFmtId="0" fontId="4" fillId="42" borderId="1" xfId="0" applyFont="1" applyFill="1" applyBorder="1" applyAlignment="1">
      <alignment horizontal="center" vertical="top" wrapText="1" readingOrder="1"/>
    </xf>
    <xf numFmtId="0" fontId="4" fillId="43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7" borderId="1" xfId="251" applyFont="1" applyFill="1" applyBorder="1" applyAlignment="1">
      <alignment horizontal="center" vertical="top" wrapText="1" readingOrder="1"/>
    </xf>
    <xf numFmtId="0" fontId="27" fillId="5" borderId="1" xfId="252" applyFont="1" applyFill="1" applyBorder="1" applyAlignment="1"/>
    <xf numFmtId="0" fontId="25" fillId="5" borderId="1" xfId="252" applyFill="1" applyBorder="1" applyAlignment="1"/>
    <xf numFmtId="0" fontId="25" fillId="0" borderId="1" xfId="252" applyBorder="1" applyAlignment="1">
      <alignment vertical="center" wrapText="1"/>
    </xf>
    <xf numFmtId="0" fontId="24" fillId="5" borderId="1" xfId="251" applyFill="1" applyBorder="1" applyAlignment="1">
      <alignment vertical="center" wrapText="1"/>
    </xf>
    <xf numFmtId="1" fontId="24" fillId="0" borderId="1" xfId="251" applyNumberFormat="1" applyBorder="1" applyAlignment="1">
      <alignment horizontal="center"/>
    </xf>
    <xf numFmtId="0" fontId="6" fillId="2" borderId="1" xfId="0" applyFont="1" applyFill="1" applyBorder="1" applyAlignment="1">
      <alignment horizontal="center" vertical="center" readingOrder="1"/>
    </xf>
    <xf numFmtId="1" fontId="6" fillId="2" borderId="1" xfId="0" applyNumberFormat="1" applyFont="1" applyFill="1" applyBorder="1" applyAlignment="1">
      <alignment horizontal="center" vertical="center" readingOrder="1"/>
    </xf>
    <xf numFmtId="1" fontId="2" fillId="2" borderId="1" xfId="0" applyNumberFormat="1" applyFont="1" applyFill="1" applyBorder="1" applyAlignment="1">
      <alignment horizontal="center" vertical="center" readingOrder="1"/>
    </xf>
    <xf numFmtId="0" fontId="3" fillId="2" borderId="1" xfId="0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6" borderId="1" xfId="0" applyFont="1" applyFill="1" applyBorder="1" applyAlignment="1">
      <alignment horizontal="center" vertical="center" readingOrder="1"/>
    </xf>
    <xf numFmtId="0" fontId="2" fillId="12" borderId="1" xfId="0" applyFont="1" applyFill="1" applyBorder="1" applyAlignment="1">
      <alignment horizontal="center" vertical="center" readingOrder="1"/>
    </xf>
    <xf numFmtId="0" fontId="3" fillId="15" borderId="1" xfId="0" applyFont="1" applyFill="1" applyBorder="1" applyAlignment="1">
      <alignment horizontal="center" vertical="center" readingOrder="1"/>
    </xf>
    <xf numFmtId="0" fontId="2" fillId="15" borderId="1" xfId="0" applyFont="1" applyFill="1" applyBorder="1" applyAlignment="1">
      <alignment horizontal="center" vertical="center" readingOrder="1"/>
    </xf>
    <xf numFmtId="0" fontId="2" fillId="20" borderId="1" xfId="0" applyFont="1" applyFill="1" applyBorder="1" applyAlignment="1">
      <alignment horizontal="center" vertical="center" readingOrder="1"/>
    </xf>
    <xf numFmtId="0" fontId="2" fillId="21" borderId="1" xfId="0" applyFont="1" applyFill="1" applyBorder="1" applyAlignment="1">
      <alignment horizontal="center" vertical="center" readingOrder="1"/>
    </xf>
    <xf numFmtId="0" fontId="2" fillId="24" borderId="1" xfId="0" applyFont="1" applyFill="1" applyBorder="1" applyAlignment="1">
      <alignment horizontal="center" vertical="center" readingOrder="1"/>
    </xf>
    <xf numFmtId="0" fontId="2" fillId="27" borderId="1" xfId="0" applyFont="1" applyFill="1" applyBorder="1" applyAlignment="1">
      <alignment horizontal="center" vertical="center" readingOrder="1"/>
    </xf>
    <xf numFmtId="0" fontId="2" fillId="30" borderId="1" xfId="0" applyFont="1" applyFill="1" applyBorder="1" applyAlignment="1">
      <alignment horizontal="center" vertical="center" readingOrder="1"/>
    </xf>
    <xf numFmtId="0" fontId="2" fillId="41" borderId="1" xfId="0" applyFont="1" applyFill="1" applyBorder="1" applyAlignment="1">
      <alignment horizontal="center" vertical="center" readingOrder="1"/>
    </xf>
    <xf numFmtId="0" fontId="28" fillId="0" borderId="0" xfId="0" applyFont="1"/>
    <xf numFmtId="0" fontId="29" fillId="0" borderId="0" xfId="0" applyFont="1"/>
    <xf numFmtId="0" fontId="7" fillId="44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29" fillId="31" borderId="0" xfId="0" applyFont="1" applyFill="1"/>
    <xf numFmtId="0" fontId="29" fillId="35" borderId="0" xfId="0" applyFont="1" applyFill="1"/>
    <xf numFmtId="0" fontId="29" fillId="45" borderId="0" xfId="0" applyFont="1" applyFill="1"/>
    <xf numFmtId="0" fontId="29" fillId="36" borderId="0" xfId="0" applyFont="1" applyFill="1"/>
    <xf numFmtId="0" fontId="30" fillId="36" borderId="0" xfId="0" applyFont="1" applyFill="1"/>
    <xf numFmtId="0" fontId="29" fillId="37" borderId="0" xfId="0" applyFont="1" applyFill="1"/>
    <xf numFmtId="0" fontId="29" fillId="38" borderId="0" xfId="0" applyFont="1" applyFill="1"/>
    <xf numFmtId="0" fontId="29" fillId="46" borderId="0" xfId="0" applyFont="1" applyFill="1"/>
    <xf numFmtId="0" fontId="5" fillId="31" borderId="0" xfId="0" applyFont="1" applyFill="1"/>
    <xf numFmtId="0" fontId="5" fillId="35" borderId="0" xfId="0" applyFont="1" applyFill="1"/>
    <xf numFmtId="0" fontId="0" fillId="4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46" borderId="0" xfId="0" applyFill="1"/>
    <xf numFmtId="0" fontId="4" fillId="4" borderId="2" xfId="0" applyFont="1" applyFill="1" applyBorder="1" applyAlignment="1">
      <alignment horizontal="center" vertical="center" wrapText="1" readingOrder="1"/>
    </xf>
    <xf numFmtId="0" fontId="15" fillId="0" borderId="1" xfId="189" applyBorder="1" applyAlignment="1">
      <alignment horizontal="left" wrapText="1" readingOrder="1"/>
    </xf>
    <xf numFmtId="0" fontId="15" fillId="0" borderId="0" xfId="189"/>
    <xf numFmtId="0" fontId="20" fillId="0" borderId="1" xfId="0" applyFont="1" applyBorder="1"/>
    <xf numFmtId="0" fontId="20" fillId="0" borderId="0" xfId="0" applyFont="1"/>
    <xf numFmtId="0" fontId="7" fillId="0" borderId="0" xfId="0" applyFont="1" applyAlignment="1">
      <alignment horizontal="center"/>
    </xf>
  </cellXfs>
  <cellStyles count="408">
    <cellStyle name="Followed Hyperlink" xfId="1" builtinId="9" hidden="1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Followed Hyperlink" xfId="243" builtinId="9" hidden="1"/>
    <cellStyle name="Followed Hyperlink" xfId="244" builtinId="9" hidden="1"/>
    <cellStyle name="Followed Hyperlink" xfId="245" builtinId="9" hidden="1"/>
    <cellStyle name="Followed Hyperlink" xfId="246" builtinId="9" hidden="1"/>
    <cellStyle name="Followed Hyperlink" xfId="247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6" builtinId="9" hidden="1"/>
    <cellStyle name="Followed Hyperlink" xfId="257" builtinId="9" hidden="1"/>
    <cellStyle name="Followed Hyperlink" xfId="258" builtinId="9" hidden="1"/>
    <cellStyle name="Followed Hyperlink" xfId="259" builtinId="9" hidden="1"/>
    <cellStyle name="Followed Hyperlink" xfId="260" builtinId="9" hidden="1"/>
    <cellStyle name="Followed Hyperlink" xfId="261" builtinId="9" hidden="1"/>
    <cellStyle name="Followed Hyperlink" xfId="262" builtinId="9" hidden="1"/>
    <cellStyle name="Followed Hyperlink" xfId="263" builtinId="9" hidden="1"/>
    <cellStyle name="Followed Hyperlink" xfId="264" builtinId="9" hidden="1"/>
    <cellStyle name="Followed Hyperlink" xfId="265" builtinId="9" hidden="1"/>
    <cellStyle name="Followed Hyperlink" xfId="266" builtinId="9" hidden="1"/>
    <cellStyle name="Followed Hyperlink" xfId="267" builtinId="9" hidden="1"/>
    <cellStyle name="Followed Hyperlink" xfId="268" builtinId="9" hidden="1"/>
    <cellStyle name="Followed Hyperlink" xfId="269" builtinId="9" hidden="1"/>
    <cellStyle name="Followed Hyperlink" xfId="270" builtinId="9" hidden="1"/>
    <cellStyle name="Followed Hyperlink" xfId="271" builtinId="9" hidden="1"/>
    <cellStyle name="Followed Hyperlink" xfId="272" builtinId="9" hidden="1"/>
    <cellStyle name="Followed Hyperlink" xfId="273" builtinId="9" hidden="1"/>
    <cellStyle name="Followed Hyperlink" xfId="274" builtinId="9" hidden="1"/>
    <cellStyle name="Followed Hyperlink" xfId="275" builtinId="9" hidden="1"/>
    <cellStyle name="Followed Hyperlink" xfId="276" builtinId="9" hidden="1"/>
    <cellStyle name="Followed Hyperlink" xfId="277" builtinId="9" hidden="1"/>
    <cellStyle name="Followed Hyperlink" xfId="278" builtinId="9" hidden="1"/>
    <cellStyle name="Followed Hyperlink" xfId="279" builtinId="9" hidden="1"/>
    <cellStyle name="Followed Hyperlink" xfId="280" builtinId="9" hidden="1"/>
    <cellStyle name="Followed Hyperlink" xfId="281" builtinId="9" hidden="1"/>
    <cellStyle name="Followed Hyperlink" xfId="282" builtinId="9" hidden="1"/>
    <cellStyle name="Followed Hyperlink" xfId="283" builtinId="9" hidden="1"/>
    <cellStyle name="Followed Hyperlink" xfId="284" builtinId="9" hidden="1"/>
    <cellStyle name="Followed Hyperlink" xfId="285" builtinId="9" hidden="1"/>
    <cellStyle name="Followed Hyperlink" xfId="286" builtinId="9" hidden="1"/>
    <cellStyle name="Followed Hyperlink" xfId="287" builtinId="9" hidden="1"/>
    <cellStyle name="Followed Hyperlink" xfId="288" builtinId="9" hidden="1"/>
    <cellStyle name="Followed Hyperlink" xfId="289" builtinId="9" hidden="1"/>
    <cellStyle name="Followed Hyperlink" xfId="290" builtinId="9" hidden="1"/>
    <cellStyle name="Followed Hyperlink" xfId="291" builtinId="9" hidden="1"/>
    <cellStyle name="Followed Hyperlink" xfId="292" builtinId="9" hidden="1"/>
    <cellStyle name="Followed Hyperlink" xfId="293" builtinId="9" hidden="1"/>
    <cellStyle name="Followed Hyperlink" xfId="294" builtinId="9" hidden="1"/>
    <cellStyle name="Followed Hyperlink" xfId="295" builtinId="9" hidden="1"/>
    <cellStyle name="Followed Hyperlink" xfId="296" builtinId="9" hidden="1"/>
    <cellStyle name="Followed Hyperlink" xfId="297" builtinId="9" hidden="1"/>
    <cellStyle name="Followed Hyperlink" xfId="298" builtinId="9" hidden="1"/>
    <cellStyle name="Followed Hyperlink" xfId="299" builtinId="9" hidden="1"/>
    <cellStyle name="Followed Hyperlink" xfId="300" builtinId="9" hidden="1"/>
    <cellStyle name="Followed Hyperlink" xfId="301" builtinId="9" hidden="1"/>
    <cellStyle name="Followed Hyperlink" xfId="302" builtinId="9" hidden="1"/>
    <cellStyle name="Followed Hyperlink" xfId="303" builtinId="9" hidden="1"/>
    <cellStyle name="Followed Hyperlink" xfId="304" builtinId="9" hidden="1"/>
    <cellStyle name="Followed Hyperlink" xfId="305" builtinId="9" hidden="1"/>
    <cellStyle name="Followed Hyperlink" xfId="306" builtinId="9" hidden="1"/>
    <cellStyle name="Followed Hyperlink" xfId="307" builtinId="9" hidden="1"/>
    <cellStyle name="Followed Hyperlink" xfId="308" builtinId="9" hidden="1"/>
    <cellStyle name="Followed Hyperlink" xfId="309" builtinId="9" hidden="1"/>
    <cellStyle name="Followed Hyperlink" xfId="310" builtinId="9" hidden="1"/>
    <cellStyle name="Followed Hyperlink" xfId="311" builtinId="9" hidden="1"/>
    <cellStyle name="Followed Hyperlink" xfId="312" builtinId="9" hidden="1"/>
    <cellStyle name="Followed Hyperlink" xfId="313" builtinId="9" hidden="1"/>
    <cellStyle name="Followed Hyperlink" xfId="314" builtinId="9" hidden="1"/>
    <cellStyle name="Followed Hyperlink" xfId="315" builtinId="9" hidden="1"/>
    <cellStyle name="Followed Hyperlink" xfId="316" builtinId="9" hidden="1"/>
    <cellStyle name="Followed Hyperlink" xfId="317" builtinId="9" hidden="1"/>
    <cellStyle name="Followed Hyperlink" xfId="318" builtinId="9" hidden="1"/>
    <cellStyle name="Followed Hyperlink" xfId="319" builtinId="9" hidden="1"/>
    <cellStyle name="Followed Hyperlink" xfId="320" builtinId="9" hidden="1"/>
    <cellStyle name="Followed Hyperlink" xfId="321" builtinId="9" hidden="1"/>
    <cellStyle name="Followed Hyperlink" xfId="322" builtinId="9" hidden="1"/>
    <cellStyle name="Followed Hyperlink" xfId="323" builtinId="9" hidden="1"/>
    <cellStyle name="Followed Hyperlink" xfId="324" builtinId="9" hidden="1"/>
    <cellStyle name="Followed Hyperlink" xfId="325" builtinId="9" hidden="1"/>
    <cellStyle name="Followed Hyperlink" xfId="326" builtinId="9" hidden="1"/>
    <cellStyle name="Followed Hyperlink" xfId="327" builtinId="9" hidden="1"/>
    <cellStyle name="Followed Hyperlink" xfId="328" builtinId="9" hidden="1"/>
    <cellStyle name="Followed Hyperlink" xfId="329" builtinId="9" hidden="1"/>
    <cellStyle name="Followed Hyperlink" xfId="330" builtinId="9" hidden="1"/>
    <cellStyle name="Followed Hyperlink" xfId="331" builtinId="9" hidden="1"/>
    <cellStyle name="Followed Hyperlink" xfId="332" builtinId="9" hidden="1"/>
    <cellStyle name="Followed Hyperlink" xfId="333" builtinId="9" hidden="1"/>
    <cellStyle name="Followed Hyperlink" xfId="334" builtinId="9" hidden="1"/>
    <cellStyle name="Followed Hyperlink" xfId="335" builtinId="9" hidden="1"/>
    <cellStyle name="Followed Hyperlink" xfId="336" builtinId="9" hidden="1"/>
    <cellStyle name="Followed Hyperlink" xfId="337" builtinId="9" hidden="1"/>
    <cellStyle name="Followed Hyperlink" xfId="338" builtinId="9" hidden="1"/>
    <cellStyle name="Followed Hyperlink" xfId="339" builtinId="9" hidden="1"/>
    <cellStyle name="Followed Hyperlink" xfId="340" builtinId="9" hidden="1"/>
    <cellStyle name="Followed Hyperlink" xfId="341" builtinId="9" hidden="1"/>
    <cellStyle name="Followed Hyperlink" xfId="342" builtinId="9" hidden="1"/>
    <cellStyle name="Followed Hyperlink" xfId="343" builtinId="9" hidden="1"/>
    <cellStyle name="Followed Hyperlink" xfId="344" builtinId="9" hidden="1"/>
    <cellStyle name="Followed Hyperlink" xfId="345" builtinId="9" hidden="1"/>
    <cellStyle name="Followed Hyperlink" xfId="346" builtinId="9" hidden="1"/>
    <cellStyle name="Followed Hyperlink" xfId="347" builtinId="9" hidden="1"/>
    <cellStyle name="Followed Hyperlink" xfId="348" builtinId="9" hidden="1"/>
    <cellStyle name="Followed Hyperlink" xfId="349" builtinId="9" hidden="1"/>
    <cellStyle name="Followed Hyperlink" xfId="350" builtinId="9" hidden="1"/>
    <cellStyle name="Followed Hyperlink" xfId="351" builtinId="9" hidden="1"/>
    <cellStyle name="Followed Hyperlink" xfId="352" builtinId="9" hidden="1"/>
    <cellStyle name="Followed Hyperlink" xfId="353" builtinId="9" hidden="1"/>
    <cellStyle name="Followed Hyperlink" xfId="354" builtinId="9" hidden="1"/>
    <cellStyle name="Followed Hyperlink" xfId="355" builtinId="9" hidden="1"/>
    <cellStyle name="Followed Hyperlink" xfId="356" builtinId="9" hidden="1"/>
    <cellStyle name="Followed Hyperlink" xfId="357" builtinId="9" hidden="1"/>
    <cellStyle name="Followed Hyperlink" xfId="358" builtinId="9" hidden="1"/>
    <cellStyle name="Followed Hyperlink" xfId="359" builtinId="9" hidden="1"/>
    <cellStyle name="Followed Hyperlink" xfId="360" builtinId="9" hidden="1"/>
    <cellStyle name="Followed Hyperlink" xfId="361" builtinId="9" hidden="1"/>
    <cellStyle name="Followed Hyperlink" xfId="362" builtinId="9" hidden="1"/>
    <cellStyle name="Followed Hyperlink" xfId="363" builtinId="9" hidden="1"/>
    <cellStyle name="Followed Hyperlink" xfId="364" builtinId="9" hidden="1"/>
    <cellStyle name="Followed Hyperlink" xfId="365" builtinId="9" hidden="1"/>
    <cellStyle name="Followed Hyperlink" xfId="366" builtinId="9" hidden="1"/>
    <cellStyle name="Followed Hyperlink" xfId="367" builtinId="9" hidden="1"/>
    <cellStyle name="Followed Hyperlink" xfId="368" builtinId="9" hidden="1"/>
    <cellStyle name="Followed Hyperlink" xfId="369" builtinId="9" hidden="1"/>
    <cellStyle name="Followed Hyperlink" xfId="370" builtinId="9" hidden="1"/>
    <cellStyle name="Followed Hyperlink" xfId="371" builtinId="9" hidden="1"/>
    <cellStyle name="Followed Hyperlink" xfId="372" builtinId="9" hidden="1"/>
    <cellStyle name="Followed Hyperlink" xfId="373" builtinId="9" hidden="1"/>
    <cellStyle name="Followed Hyperlink" xfId="374" builtinId="9" hidden="1"/>
    <cellStyle name="Followed Hyperlink" xfId="375" builtinId="9" hidden="1"/>
    <cellStyle name="Followed Hyperlink" xfId="376" builtinId="9" hidden="1"/>
    <cellStyle name="Followed Hyperlink" xfId="377" builtinId="9" hidden="1"/>
    <cellStyle name="Followed Hyperlink" xfId="378" builtinId="9" hidden="1"/>
    <cellStyle name="Followed Hyperlink" xfId="379" builtinId="9" hidden="1"/>
    <cellStyle name="Followed Hyperlink" xfId="380" builtinId="9" hidden="1"/>
    <cellStyle name="Followed Hyperlink" xfId="381" builtinId="9" hidden="1"/>
    <cellStyle name="Followed Hyperlink" xfId="382" builtinId="9" hidden="1"/>
    <cellStyle name="Followed Hyperlink" xfId="383" builtinId="9" hidden="1"/>
    <cellStyle name="Followed Hyperlink" xfId="384" builtinId="9" hidden="1"/>
    <cellStyle name="Followed Hyperlink" xfId="385" builtinId="9" hidden="1"/>
    <cellStyle name="Followed Hyperlink" xfId="386" builtinId="9" hidden="1"/>
    <cellStyle name="Followed Hyperlink" xfId="387" builtinId="9" hidden="1"/>
    <cellStyle name="Followed Hyperlink" xfId="388" builtinId="9" hidden="1"/>
    <cellStyle name="Followed Hyperlink" xfId="389" builtinId="9" hidden="1"/>
    <cellStyle name="Followed Hyperlink" xfId="390" builtinId="9" hidden="1"/>
    <cellStyle name="Followed Hyperlink" xfId="391" builtinId="9" hidden="1"/>
    <cellStyle name="Followed Hyperlink" xfId="392" builtinId="9" hidden="1"/>
    <cellStyle name="Followed Hyperlink" xfId="393" builtinId="9" hidden="1"/>
    <cellStyle name="Followed Hyperlink" xfId="394" builtinId="9" hidden="1"/>
    <cellStyle name="Followed Hyperlink" xfId="395" builtinId="9" hidden="1"/>
    <cellStyle name="Followed Hyperlink" xfId="396" builtinId="9" hidden="1"/>
    <cellStyle name="Followed Hyperlink" xfId="397" builtinId="9" hidden="1"/>
    <cellStyle name="Followed Hyperlink" xfId="398" builtinId="9" hidden="1"/>
    <cellStyle name="Followed Hyperlink" xfId="399" builtinId="9" hidden="1"/>
    <cellStyle name="Followed Hyperlink" xfId="400" builtinId="9" hidden="1"/>
    <cellStyle name="Followed Hyperlink" xfId="401" builtinId="9" hidden="1"/>
    <cellStyle name="Followed Hyperlink" xfId="402" builtinId="9" hidden="1"/>
    <cellStyle name="Followed Hyperlink" xfId="403" builtinId="9" hidden="1"/>
    <cellStyle name="Followed Hyperlink" xfId="404" builtinId="9" hidden="1"/>
    <cellStyle name="Followed Hyperlink" xfId="405" builtinId="9" hidden="1"/>
    <cellStyle name="Followed Hyperlink" xfId="406" builtinId="9" hidden="1"/>
    <cellStyle name="Followed Hyperlink" xfId="407" builtinId="9" hidden="1"/>
    <cellStyle name="Hyperlink" xfId="2" builtinId="8" hidden="1"/>
    <cellStyle name="Hyperlink" xfId="4" builtinId="8" hidden="1"/>
    <cellStyle name="Hyperlink" xfId="6" builtinId="8" hidden="1"/>
    <cellStyle name="Hyperlink" xfId="189" builtinId="8"/>
    <cellStyle name="Hyperlink 2" xfId="252" xr:uid="{00000000-0005-0000-0000-000092010000}"/>
    <cellStyle name="Normal" xfId="0" builtinId="0"/>
    <cellStyle name="Normal 2" xfId="251" xr:uid="{00000000-0005-0000-0000-000094010000}"/>
    <cellStyle name="Normal 7" xfId="253" xr:uid="{00000000-0005-0000-0000-000095010000}"/>
    <cellStyle name="Standard 2" xfId="254" xr:uid="{00000000-0005-0000-0000-000096010000}"/>
    <cellStyle name="Standard 2 2" xfId="255" xr:uid="{00000000-0005-0000-0000-000097010000}"/>
  </cellStyles>
  <dxfs count="0"/>
  <tableStyles count="0" defaultTableStyle="TableStyleMedium9" defaultPivotStyle="PivotStyleMedium4"/>
  <colors>
    <mruColors>
      <color rgb="FFFFEE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haronb@ku.edu" TargetMode="External"/><Relationship Id="rId1" Type="http://schemas.openxmlformats.org/officeDocument/2006/relationships/hyperlink" Target="mailto:ntlooke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85"/>
  <sheetViews>
    <sheetView tabSelected="1" topLeftCell="C1" zoomScale="110" zoomScaleNormal="110" zoomScalePageLayoutView="85" workbookViewId="0">
      <selection activeCell="M4" sqref="M4"/>
    </sheetView>
  </sheetViews>
  <sheetFormatPr defaultColWidth="15.1796875" defaultRowHeight="15" customHeight="1" x14ac:dyDescent="0.35"/>
  <cols>
    <col min="1" max="1" width="14.6328125" style="3" customWidth="1"/>
    <col min="2" max="3" width="15.453125" style="3" customWidth="1"/>
    <col min="4" max="4" width="13.1796875" style="3" customWidth="1"/>
    <col min="5" max="5" width="19.453125" style="3" customWidth="1"/>
    <col min="6" max="6" width="13.1796875" style="3" customWidth="1"/>
    <col min="7" max="7" width="18.81640625" style="108" bestFit="1" customWidth="1"/>
    <col min="8" max="8" width="19.453125" style="108" bestFit="1" customWidth="1"/>
    <col min="9" max="9" width="21.453125" style="108" bestFit="1" customWidth="1"/>
    <col min="10" max="10" width="14.1796875" style="3" customWidth="1"/>
    <col min="11" max="11" width="13.1796875" style="3" customWidth="1"/>
    <col min="12" max="12" width="18" style="3" customWidth="1"/>
    <col min="13" max="13" width="43.6328125" style="3" customWidth="1"/>
    <col min="14" max="14" width="21.6328125" style="3" customWidth="1"/>
    <col min="15" max="15" width="47.1796875" style="3" bestFit="1" customWidth="1"/>
    <col min="16" max="16" width="18.453125" style="3" customWidth="1"/>
    <col min="17" max="16384" width="15.1796875" style="3"/>
  </cols>
  <sheetData>
    <row r="1" spans="1:17" s="21" customFormat="1" ht="18" customHeight="1" x14ac:dyDescent="0.35">
      <c r="A1" s="18" t="s">
        <v>637</v>
      </c>
      <c r="B1" s="18" t="s">
        <v>641</v>
      </c>
      <c r="C1" s="19" t="s">
        <v>732</v>
      </c>
      <c r="D1" s="18" t="s">
        <v>0</v>
      </c>
      <c r="E1" s="18" t="s">
        <v>1</v>
      </c>
      <c r="F1" s="18" t="s">
        <v>2</v>
      </c>
      <c r="G1" s="111" t="s">
        <v>714</v>
      </c>
      <c r="H1" s="111" t="s">
        <v>715</v>
      </c>
      <c r="I1" s="111" t="s">
        <v>716</v>
      </c>
      <c r="J1" s="18" t="s">
        <v>3</v>
      </c>
      <c r="K1" s="18" t="s">
        <v>4</v>
      </c>
      <c r="L1" s="19" t="s">
        <v>5</v>
      </c>
      <c r="M1" s="18" t="s">
        <v>332</v>
      </c>
      <c r="N1" s="20" t="s">
        <v>236</v>
      </c>
      <c r="O1" s="20" t="s">
        <v>399</v>
      </c>
      <c r="P1" s="21" t="s">
        <v>776</v>
      </c>
    </row>
    <row r="2" spans="1:17" s="21" customFormat="1" ht="25.5" customHeight="1" x14ac:dyDescent="0.35">
      <c r="A2" s="22" t="s">
        <v>638</v>
      </c>
      <c r="B2" s="22" t="s">
        <v>640</v>
      </c>
      <c r="C2" s="22" t="s">
        <v>733</v>
      </c>
      <c r="D2" s="22" t="s">
        <v>6</v>
      </c>
      <c r="E2" s="22" t="s">
        <v>7</v>
      </c>
      <c r="F2" s="22" t="s">
        <v>8</v>
      </c>
      <c r="G2" s="106" t="s">
        <v>717</v>
      </c>
      <c r="H2" s="106" t="s">
        <v>718</v>
      </c>
      <c r="I2" s="106" t="s">
        <v>719</v>
      </c>
      <c r="J2" s="22" t="s">
        <v>9</v>
      </c>
      <c r="K2" s="22" t="s">
        <v>10</v>
      </c>
      <c r="L2" s="22" t="s">
        <v>11</v>
      </c>
      <c r="M2" s="22" t="s">
        <v>12</v>
      </c>
      <c r="N2" s="23" t="s">
        <v>266</v>
      </c>
      <c r="O2" s="23" t="s">
        <v>333</v>
      </c>
      <c r="P2" s="133" t="s">
        <v>839</v>
      </c>
      <c r="Q2" s="131"/>
    </row>
    <row r="3" spans="1:17" s="33" customFormat="1" ht="31" customHeight="1" x14ac:dyDescent="0.35">
      <c r="A3" s="28" t="s">
        <v>331</v>
      </c>
      <c r="B3" s="28"/>
      <c r="C3" s="28"/>
      <c r="D3" s="28" t="s">
        <v>234</v>
      </c>
      <c r="E3" s="28" t="s">
        <v>232</v>
      </c>
      <c r="F3" s="28" t="s">
        <v>233</v>
      </c>
      <c r="G3" s="107" t="s">
        <v>697</v>
      </c>
      <c r="H3" s="107" t="s">
        <v>34</v>
      </c>
      <c r="I3" s="107" t="s">
        <v>698</v>
      </c>
      <c r="J3" s="28" t="s">
        <v>245</v>
      </c>
      <c r="K3" s="28" t="s">
        <v>264</v>
      </c>
      <c r="L3" s="28" t="s">
        <v>265</v>
      </c>
      <c r="M3" s="28" t="s">
        <v>13</v>
      </c>
      <c r="N3" s="102"/>
      <c r="O3" s="102" t="s">
        <v>330</v>
      </c>
      <c r="P3" s="132" t="s">
        <v>840</v>
      </c>
    </row>
    <row r="4" spans="1:17" ht="87" x14ac:dyDescent="0.35">
      <c r="A4" s="125" t="s">
        <v>989</v>
      </c>
      <c r="B4" s="135" t="s">
        <v>990</v>
      </c>
      <c r="C4" s="136"/>
      <c r="D4" s="125" t="s">
        <v>991</v>
      </c>
      <c r="E4" s="125" t="s">
        <v>992</v>
      </c>
      <c r="F4" s="175" t="s">
        <v>993</v>
      </c>
      <c r="G4" s="124">
        <v>2025</v>
      </c>
      <c r="H4" s="123">
        <v>9</v>
      </c>
      <c r="I4" s="123">
        <v>30</v>
      </c>
      <c r="J4" s="125" t="s">
        <v>994</v>
      </c>
      <c r="K4" s="176" t="s">
        <v>995</v>
      </c>
      <c r="L4" s="137" t="s">
        <v>996</v>
      </c>
      <c r="M4" s="138" t="s">
        <v>997</v>
      </c>
      <c r="N4" s="125"/>
      <c r="O4" s="123" t="s">
        <v>999</v>
      </c>
      <c r="P4" s="139">
        <v>2022092010</v>
      </c>
    </row>
    <row r="5" spans="1:17" ht="14.5" x14ac:dyDescent="0.35">
      <c r="A5" s="13"/>
      <c r="B5" s="13"/>
      <c r="C5" s="13"/>
      <c r="D5" s="13"/>
      <c r="E5" s="13"/>
      <c r="F5" s="13"/>
      <c r="G5" s="116"/>
      <c r="H5" s="116"/>
      <c r="I5" s="116"/>
      <c r="J5" s="13"/>
      <c r="K5" s="13"/>
      <c r="L5" s="13"/>
      <c r="M5" s="13"/>
      <c r="N5" s="13"/>
    </row>
    <row r="6" spans="1:17" ht="14.5" x14ac:dyDescent="0.35">
      <c r="A6" s="13"/>
      <c r="B6" s="13"/>
      <c r="C6" s="13"/>
      <c r="D6" s="13"/>
      <c r="E6" s="13"/>
      <c r="F6" s="13"/>
      <c r="G6" s="116"/>
      <c r="H6" s="116"/>
      <c r="I6" s="116"/>
      <c r="J6" s="13"/>
      <c r="K6" s="13"/>
      <c r="L6" s="13"/>
      <c r="M6" s="13"/>
      <c r="N6" s="13"/>
    </row>
    <row r="7" spans="1:17" ht="14.5" x14ac:dyDescent="0.35"/>
    <row r="8" spans="1:17" ht="14.5" x14ac:dyDescent="0.35"/>
    <row r="9" spans="1:17" ht="14.5" x14ac:dyDescent="0.35"/>
    <row r="10" spans="1:17" ht="14.5" x14ac:dyDescent="0.35"/>
    <row r="11" spans="1:17" ht="14.5" x14ac:dyDescent="0.35"/>
    <row r="12" spans="1:17" ht="14.5" x14ac:dyDescent="0.35"/>
    <row r="13" spans="1:17" ht="14.5" x14ac:dyDescent="0.35"/>
    <row r="14" spans="1:17" ht="14.5" x14ac:dyDescent="0.35"/>
    <row r="15" spans="1:17" ht="14.5" x14ac:dyDescent="0.35"/>
    <row r="16" spans="1:17" ht="14.5" x14ac:dyDescent="0.35"/>
    <row r="17" ht="14.5" x14ac:dyDescent="0.35"/>
    <row r="18" ht="14.5" x14ac:dyDescent="0.35"/>
    <row r="19" ht="14.5" x14ac:dyDescent="0.35"/>
    <row r="20" ht="14.5" x14ac:dyDescent="0.35"/>
    <row r="21" ht="14.5" x14ac:dyDescent="0.35"/>
    <row r="22" ht="14.5" x14ac:dyDescent="0.35"/>
    <row r="23" ht="14.5" x14ac:dyDescent="0.35"/>
    <row r="24" ht="14.5" x14ac:dyDescent="0.35"/>
    <row r="25" ht="14.5" x14ac:dyDescent="0.35"/>
    <row r="26" ht="14.5" x14ac:dyDescent="0.35"/>
    <row r="27" ht="14.5" x14ac:dyDescent="0.35"/>
    <row r="28" ht="14.5" x14ac:dyDescent="0.35"/>
    <row r="29" ht="14.5" x14ac:dyDescent="0.35"/>
    <row r="30" ht="14.5" x14ac:dyDescent="0.35"/>
    <row r="31" ht="14.5" x14ac:dyDescent="0.35"/>
    <row r="32" ht="14.5" x14ac:dyDescent="0.35"/>
    <row r="33" ht="14.5" x14ac:dyDescent="0.35"/>
    <row r="34" ht="14.5" x14ac:dyDescent="0.35"/>
    <row r="35" ht="14.5" x14ac:dyDescent="0.35"/>
    <row r="36" ht="14.5" x14ac:dyDescent="0.35"/>
    <row r="37" ht="14.5" x14ac:dyDescent="0.35"/>
    <row r="38" ht="14.5" x14ac:dyDescent="0.35"/>
    <row r="39" ht="14.5" x14ac:dyDescent="0.35"/>
    <row r="40" ht="14.5" x14ac:dyDescent="0.35"/>
    <row r="41" ht="14.5" x14ac:dyDescent="0.35"/>
    <row r="42" ht="14.5" x14ac:dyDescent="0.35"/>
    <row r="43" ht="14.5" x14ac:dyDescent="0.35"/>
    <row r="44" ht="14.5" x14ac:dyDescent="0.35"/>
    <row r="45" ht="14.5" x14ac:dyDescent="0.35"/>
    <row r="46" ht="14.5" x14ac:dyDescent="0.35"/>
    <row r="47" ht="14.5" x14ac:dyDescent="0.35"/>
    <row r="48" ht="14.5" x14ac:dyDescent="0.35"/>
    <row r="49" ht="14.5" x14ac:dyDescent="0.35"/>
    <row r="50" ht="14.5" x14ac:dyDescent="0.35"/>
    <row r="51" ht="14.5" x14ac:dyDescent="0.35"/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  <row r="187" ht="14.5" x14ac:dyDescent="0.35"/>
    <row r="188" ht="14.5" x14ac:dyDescent="0.35"/>
    <row r="189" ht="14.5" x14ac:dyDescent="0.35"/>
    <row r="190" ht="14.5" x14ac:dyDescent="0.35"/>
    <row r="191" ht="14.5" x14ac:dyDescent="0.35"/>
    <row r="192" ht="14.5" x14ac:dyDescent="0.35"/>
    <row r="193" ht="14.5" x14ac:dyDescent="0.35"/>
    <row r="194" ht="14.5" x14ac:dyDescent="0.35"/>
    <row r="195" ht="14.5" x14ac:dyDescent="0.35"/>
    <row r="196" ht="14.5" x14ac:dyDescent="0.35"/>
    <row r="197" ht="14.5" x14ac:dyDescent="0.35"/>
    <row r="198" ht="14.5" x14ac:dyDescent="0.35"/>
    <row r="199" ht="14.5" x14ac:dyDescent="0.35"/>
    <row r="200" ht="14.5" x14ac:dyDescent="0.35"/>
    <row r="201" ht="14.5" x14ac:dyDescent="0.35"/>
    <row r="202" ht="14.5" x14ac:dyDescent="0.35"/>
    <row r="203" ht="14.5" x14ac:dyDescent="0.35"/>
    <row r="204" ht="14.5" x14ac:dyDescent="0.35"/>
    <row r="205" ht="14.5" x14ac:dyDescent="0.35"/>
    <row r="206" ht="14.5" x14ac:dyDescent="0.35"/>
    <row r="207" ht="14.5" x14ac:dyDescent="0.35"/>
    <row r="208" ht="14.5" x14ac:dyDescent="0.35"/>
    <row r="209" ht="14.5" x14ac:dyDescent="0.35"/>
    <row r="210" ht="14.5" x14ac:dyDescent="0.35"/>
    <row r="211" ht="14.5" x14ac:dyDescent="0.35"/>
    <row r="212" ht="14.5" x14ac:dyDescent="0.35"/>
    <row r="213" ht="14.5" x14ac:dyDescent="0.35"/>
    <row r="214" ht="14.5" x14ac:dyDescent="0.35"/>
    <row r="215" ht="14.5" x14ac:dyDescent="0.35"/>
    <row r="216" ht="14.5" x14ac:dyDescent="0.35"/>
    <row r="217" ht="14.5" x14ac:dyDescent="0.35"/>
    <row r="218" ht="14.5" x14ac:dyDescent="0.35"/>
    <row r="219" ht="14.5" x14ac:dyDescent="0.35"/>
    <row r="220" ht="14.5" x14ac:dyDescent="0.35"/>
    <row r="221" ht="14.5" x14ac:dyDescent="0.35"/>
    <row r="222" ht="14.5" x14ac:dyDescent="0.35"/>
    <row r="223" ht="14.5" x14ac:dyDescent="0.35"/>
    <row r="224" ht="14.5" x14ac:dyDescent="0.35"/>
    <row r="225" ht="14.5" x14ac:dyDescent="0.35"/>
    <row r="226" ht="14.5" x14ac:dyDescent="0.35"/>
    <row r="227" ht="14.5" x14ac:dyDescent="0.35"/>
    <row r="228" ht="14.5" x14ac:dyDescent="0.35"/>
    <row r="229" ht="14.5" x14ac:dyDescent="0.35"/>
    <row r="230" ht="14.5" x14ac:dyDescent="0.35"/>
    <row r="231" ht="14.5" x14ac:dyDescent="0.35"/>
    <row r="232" ht="14.5" x14ac:dyDescent="0.35"/>
    <row r="233" ht="14.5" x14ac:dyDescent="0.35"/>
    <row r="234" ht="14.5" x14ac:dyDescent="0.35"/>
    <row r="235" ht="14.5" x14ac:dyDescent="0.35"/>
    <row r="236" ht="14.5" x14ac:dyDescent="0.35"/>
    <row r="237" ht="14.5" x14ac:dyDescent="0.35"/>
    <row r="238" ht="14.5" x14ac:dyDescent="0.35"/>
    <row r="239" ht="14.5" x14ac:dyDescent="0.35"/>
    <row r="240" ht="14.5" x14ac:dyDescent="0.35"/>
    <row r="241" ht="14.5" x14ac:dyDescent="0.35"/>
    <row r="242" ht="14.5" x14ac:dyDescent="0.35"/>
    <row r="243" ht="14.5" x14ac:dyDescent="0.35"/>
    <row r="244" ht="14.5" x14ac:dyDescent="0.35"/>
    <row r="245" ht="14.5" x14ac:dyDescent="0.35"/>
    <row r="246" ht="14.5" x14ac:dyDescent="0.35"/>
    <row r="247" ht="14.5" x14ac:dyDescent="0.35"/>
    <row r="248" ht="14.5" x14ac:dyDescent="0.35"/>
    <row r="249" ht="14.5" x14ac:dyDescent="0.35"/>
    <row r="250" ht="14.5" x14ac:dyDescent="0.35"/>
    <row r="251" ht="14.5" x14ac:dyDescent="0.35"/>
    <row r="252" ht="14.5" x14ac:dyDescent="0.35"/>
    <row r="253" ht="14.5" x14ac:dyDescent="0.35"/>
    <row r="254" ht="14.5" x14ac:dyDescent="0.35"/>
    <row r="255" ht="14.5" x14ac:dyDescent="0.35"/>
    <row r="256" ht="14.5" x14ac:dyDescent="0.35"/>
    <row r="257" ht="14.5" x14ac:dyDescent="0.35"/>
    <row r="258" ht="14.5" x14ac:dyDescent="0.35"/>
    <row r="259" ht="14.5" x14ac:dyDescent="0.35"/>
    <row r="260" ht="14.5" x14ac:dyDescent="0.35"/>
    <row r="261" ht="14.5" x14ac:dyDescent="0.35"/>
    <row r="262" ht="14.5" x14ac:dyDescent="0.35"/>
    <row r="263" ht="14.5" x14ac:dyDescent="0.35"/>
    <row r="264" ht="14.5" x14ac:dyDescent="0.35"/>
    <row r="265" ht="14.5" x14ac:dyDescent="0.35"/>
    <row r="266" ht="14.5" x14ac:dyDescent="0.35"/>
    <row r="267" ht="14.5" x14ac:dyDescent="0.35"/>
    <row r="268" ht="14.5" x14ac:dyDescent="0.35"/>
    <row r="269" ht="14.5" x14ac:dyDescent="0.35"/>
    <row r="270" ht="14.5" x14ac:dyDescent="0.35"/>
    <row r="271" ht="14.5" x14ac:dyDescent="0.35"/>
    <row r="272" ht="14.5" x14ac:dyDescent="0.35"/>
    <row r="273" ht="14.5" x14ac:dyDescent="0.35"/>
    <row r="274" ht="14.5" x14ac:dyDescent="0.35"/>
    <row r="275" ht="14.5" x14ac:dyDescent="0.35"/>
    <row r="276" ht="14.5" x14ac:dyDescent="0.35"/>
    <row r="277" ht="14.5" x14ac:dyDescent="0.35"/>
    <row r="278" ht="14.5" x14ac:dyDescent="0.35"/>
    <row r="279" ht="14.5" x14ac:dyDescent="0.35"/>
    <row r="280" ht="14.5" x14ac:dyDescent="0.35"/>
    <row r="281" ht="14.5" x14ac:dyDescent="0.35"/>
    <row r="282" ht="14.5" x14ac:dyDescent="0.35"/>
    <row r="283" ht="14.5" x14ac:dyDescent="0.35"/>
    <row r="284" ht="14.5" x14ac:dyDescent="0.35"/>
    <row r="285" ht="14.5" x14ac:dyDescent="0.35"/>
    <row r="286" ht="14.5" x14ac:dyDescent="0.35"/>
    <row r="287" ht="14.5" x14ac:dyDescent="0.35"/>
    <row r="288" ht="14.5" x14ac:dyDescent="0.35"/>
    <row r="289" ht="14.5" x14ac:dyDescent="0.35"/>
    <row r="290" ht="14.5" x14ac:dyDescent="0.35"/>
    <row r="291" ht="14.5" x14ac:dyDescent="0.35"/>
    <row r="292" ht="14.5" x14ac:dyDescent="0.35"/>
    <row r="293" ht="14.5" x14ac:dyDescent="0.35"/>
    <row r="294" ht="14.5" x14ac:dyDescent="0.35"/>
    <row r="295" ht="14.5" x14ac:dyDescent="0.35"/>
    <row r="296" ht="14.5" x14ac:dyDescent="0.35"/>
    <row r="297" ht="14.5" x14ac:dyDescent="0.35"/>
    <row r="298" ht="14.5" x14ac:dyDescent="0.35"/>
    <row r="299" ht="14.5" x14ac:dyDescent="0.35"/>
    <row r="300" ht="14.5" x14ac:dyDescent="0.35"/>
    <row r="301" ht="14.5" x14ac:dyDescent="0.35"/>
    <row r="302" ht="14.5" x14ac:dyDescent="0.35"/>
    <row r="303" ht="14.5" x14ac:dyDescent="0.35"/>
    <row r="304" ht="14.5" x14ac:dyDescent="0.35"/>
    <row r="305" ht="14.5" x14ac:dyDescent="0.35"/>
    <row r="306" ht="14.5" x14ac:dyDescent="0.35"/>
    <row r="307" ht="14.5" x14ac:dyDescent="0.35"/>
    <row r="308" ht="14.5" x14ac:dyDescent="0.35"/>
    <row r="309" ht="14.5" x14ac:dyDescent="0.35"/>
    <row r="310" ht="14.5" x14ac:dyDescent="0.35"/>
    <row r="311" ht="14.5" x14ac:dyDescent="0.35"/>
    <row r="312" ht="14.5" x14ac:dyDescent="0.35"/>
    <row r="313" ht="14.5" x14ac:dyDescent="0.35"/>
    <row r="314" ht="14.5" x14ac:dyDescent="0.35"/>
    <row r="315" ht="14.5" x14ac:dyDescent="0.35"/>
    <row r="316" ht="14.5" x14ac:dyDescent="0.35"/>
    <row r="317" ht="14.5" x14ac:dyDescent="0.35"/>
    <row r="318" ht="14.5" x14ac:dyDescent="0.35"/>
    <row r="319" ht="14.5" x14ac:dyDescent="0.35"/>
    <row r="320" ht="14.5" x14ac:dyDescent="0.35"/>
    <row r="321" ht="14.5" x14ac:dyDescent="0.35"/>
    <row r="322" ht="14.5" x14ac:dyDescent="0.35"/>
    <row r="323" ht="14.5" x14ac:dyDescent="0.35"/>
    <row r="324" ht="14.5" x14ac:dyDescent="0.35"/>
    <row r="325" ht="14.5" x14ac:dyDescent="0.35"/>
    <row r="326" ht="14.5" x14ac:dyDescent="0.35"/>
    <row r="327" ht="14.5" x14ac:dyDescent="0.35"/>
    <row r="328" ht="14.5" x14ac:dyDescent="0.35"/>
    <row r="329" ht="14.5" x14ac:dyDescent="0.35"/>
    <row r="330" ht="14.5" x14ac:dyDescent="0.35"/>
    <row r="331" ht="14.5" x14ac:dyDescent="0.35"/>
    <row r="332" ht="14.5" x14ac:dyDescent="0.35"/>
    <row r="333" ht="14.5" x14ac:dyDescent="0.35"/>
    <row r="334" ht="14.5" x14ac:dyDescent="0.35"/>
    <row r="335" ht="14.5" x14ac:dyDescent="0.35"/>
    <row r="336" ht="14.5" x14ac:dyDescent="0.35"/>
    <row r="337" ht="14.5" x14ac:dyDescent="0.35"/>
    <row r="338" ht="14.5" x14ac:dyDescent="0.35"/>
    <row r="339" ht="14.5" x14ac:dyDescent="0.35"/>
    <row r="340" ht="14.5" x14ac:dyDescent="0.35"/>
    <row r="341" ht="14.5" x14ac:dyDescent="0.35"/>
    <row r="342" ht="14.5" x14ac:dyDescent="0.35"/>
    <row r="343" ht="14.5" x14ac:dyDescent="0.35"/>
    <row r="344" ht="14.5" x14ac:dyDescent="0.35"/>
    <row r="345" ht="14.5" x14ac:dyDescent="0.35"/>
    <row r="346" ht="14.5" x14ac:dyDescent="0.35"/>
    <row r="347" ht="14.5" x14ac:dyDescent="0.35"/>
    <row r="348" ht="14.5" x14ac:dyDescent="0.35"/>
    <row r="349" ht="14.5" x14ac:dyDescent="0.35"/>
    <row r="350" ht="14.5" x14ac:dyDescent="0.35"/>
    <row r="351" ht="14.5" x14ac:dyDescent="0.35"/>
    <row r="352" ht="14.5" x14ac:dyDescent="0.35"/>
    <row r="353" ht="14.5" x14ac:dyDescent="0.35"/>
    <row r="354" ht="14.5" x14ac:dyDescent="0.35"/>
    <row r="355" ht="14.5" x14ac:dyDescent="0.35"/>
    <row r="356" ht="14.5" x14ac:dyDescent="0.35"/>
    <row r="357" ht="14.5" x14ac:dyDescent="0.35"/>
    <row r="358" ht="14.5" x14ac:dyDescent="0.35"/>
    <row r="359" ht="14.5" x14ac:dyDescent="0.35"/>
    <row r="360" ht="14.5" x14ac:dyDescent="0.35"/>
    <row r="361" ht="14.5" x14ac:dyDescent="0.35"/>
    <row r="362" ht="14.5" x14ac:dyDescent="0.35"/>
    <row r="363" ht="14.5" x14ac:dyDescent="0.35"/>
    <row r="364" ht="14.5" x14ac:dyDescent="0.35"/>
    <row r="365" ht="14.5" x14ac:dyDescent="0.35"/>
    <row r="366" ht="14.5" x14ac:dyDescent="0.35"/>
    <row r="367" ht="14.5" x14ac:dyDescent="0.35"/>
    <row r="368" ht="14.5" x14ac:dyDescent="0.35"/>
    <row r="369" ht="14.5" x14ac:dyDescent="0.35"/>
    <row r="370" ht="14.5" x14ac:dyDescent="0.35"/>
    <row r="371" ht="14.5" x14ac:dyDescent="0.35"/>
    <row r="372" ht="14.5" x14ac:dyDescent="0.35"/>
    <row r="373" ht="14.5" x14ac:dyDescent="0.35"/>
    <row r="374" ht="14.5" x14ac:dyDescent="0.35"/>
    <row r="375" ht="14.5" x14ac:dyDescent="0.35"/>
    <row r="376" ht="14.5" x14ac:dyDescent="0.35"/>
    <row r="377" ht="14.5" x14ac:dyDescent="0.35"/>
    <row r="378" ht="14.5" x14ac:dyDescent="0.35"/>
    <row r="379" ht="14.5" x14ac:dyDescent="0.35"/>
    <row r="380" ht="14.5" x14ac:dyDescent="0.35"/>
    <row r="381" ht="14.5" x14ac:dyDescent="0.35"/>
    <row r="382" ht="14.5" x14ac:dyDescent="0.35"/>
    <row r="383" ht="14.5" x14ac:dyDescent="0.35"/>
    <row r="384" ht="14.5" x14ac:dyDescent="0.35"/>
    <row r="385" ht="14.5" x14ac:dyDescent="0.35"/>
    <row r="386" ht="14.5" x14ac:dyDescent="0.35"/>
    <row r="387" ht="14.5" x14ac:dyDescent="0.35"/>
    <row r="388" ht="14.5" x14ac:dyDescent="0.35"/>
    <row r="389" ht="14.5" x14ac:dyDescent="0.35"/>
    <row r="390" ht="14.5" x14ac:dyDescent="0.35"/>
    <row r="391" ht="14.5" x14ac:dyDescent="0.35"/>
    <row r="392" ht="14.5" x14ac:dyDescent="0.35"/>
    <row r="393" ht="14.5" x14ac:dyDescent="0.35"/>
    <row r="394" ht="14.5" x14ac:dyDescent="0.35"/>
    <row r="395" ht="14.5" x14ac:dyDescent="0.35"/>
    <row r="396" ht="14.5" x14ac:dyDescent="0.35"/>
    <row r="397" ht="14.5" x14ac:dyDescent="0.35"/>
    <row r="398" ht="14.5" x14ac:dyDescent="0.35"/>
    <row r="399" ht="14.5" x14ac:dyDescent="0.35"/>
    <row r="400" ht="14.5" x14ac:dyDescent="0.35"/>
    <row r="401" ht="14.5" x14ac:dyDescent="0.35"/>
    <row r="402" ht="14.5" x14ac:dyDescent="0.35"/>
    <row r="403" ht="14.5" x14ac:dyDescent="0.35"/>
    <row r="404" ht="14.5" x14ac:dyDescent="0.35"/>
    <row r="405" ht="14.5" x14ac:dyDescent="0.35"/>
    <row r="406" ht="14.5" x14ac:dyDescent="0.35"/>
    <row r="407" ht="14.5" x14ac:dyDescent="0.35"/>
    <row r="408" ht="14.5" x14ac:dyDescent="0.35"/>
    <row r="409" ht="14.5" x14ac:dyDescent="0.35"/>
    <row r="410" ht="14.5" x14ac:dyDescent="0.35"/>
    <row r="411" ht="14.5" x14ac:dyDescent="0.35"/>
    <row r="412" ht="14.5" x14ac:dyDescent="0.35"/>
    <row r="413" ht="14.5" x14ac:dyDescent="0.35"/>
    <row r="414" ht="14.5" x14ac:dyDescent="0.35"/>
    <row r="415" ht="14.5" x14ac:dyDescent="0.35"/>
    <row r="416" ht="14.5" x14ac:dyDescent="0.35"/>
    <row r="417" ht="14.5" x14ac:dyDescent="0.35"/>
    <row r="418" ht="14.5" x14ac:dyDescent="0.35"/>
    <row r="419" ht="14.5" x14ac:dyDescent="0.35"/>
    <row r="420" ht="14.5" x14ac:dyDescent="0.35"/>
    <row r="421" ht="14.5" x14ac:dyDescent="0.35"/>
    <row r="422" ht="14.5" x14ac:dyDescent="0.35"/>
    <row r="423" ht="14.5" x14ac:dyDescent="0.35"/>
    <row r="424" ht="14.5" x14ac:dyDescent="0.35"/>
    <row r="425" ht="14.5" x14ac:dyDescent="0.35"/>
    <row r="426" ht="14.5" x14ac:dyDescent="0.35"/>
    <row r="427" ht="14.5" x14ac:dyDescent="0.35"/>
    <row r="428" ht="14.5" x14ac:dyDescent="0.35"/>
    <row r="429" ht="14.5" x14ac:dyDescent="0.35"/>
    <row r="430" ht="14.5" x14ac:dyDescent="0.35"/>
    <row r="431" ht="14.5" x14ac:dyDescent="0.35"/>
    <row r="432" ht="14.5" x14ac:dyDescent="0.35"/>
    <row r="433" ht="14.5" x14ac:dyDescent="0.35"/>
    <row r="434" ht="14.5" x14ac:dyDescent="0.35"/>
    <row r="435" ht="14.5" x14ac:dyDescent="0.35"/>
    <row r="436" ht="14.5" x14ac:dyDescent="0.35"/>
    <row r="437" ht="14.5" x14ac:dyDescent="0.35"/>
    <row r="438" ht="14.5" x14ac:dyDescent="0.35"/>
    <row r="439" ht="14.5" x14ac:dyDescent="0.35"/>
    <row r="440" ht="14.5" x14ac:dyDescent="0.35"/>
    <row r="441" ht="14.5" x14ac:dyDescent="0.35"/>
    <row r="442" ht="14.5" x14ac:dyDescent="0.35"/>
    <row r="443" ht="14.5" x14ac:dyDescent="0.35"/>
    <row r="444" ht="14.5" x14ac:dyDescent="0.35"/>
    <row r="445" ht="14.5" x14ac:dyDescent="0.35"/>
    <row r="446" ht="14.5" x14ac:dyDescent="0.35"/>
    <row r="447" ht="14.5" x14ac:dyDescent="0.35"/>
    <row r="448" ht="14.5" x14ac:dyDescent="0.35"/>
    <row r="449" ht="14.5" x14ac:dyDescent="0.35"/>
    <row r="450" ht="14.5" x14ac:dyDescent="0.35"/>
    <row r="451" ht="14.5" x14ac:dyDescent="0.35"/>
    <row r="452" ht="14.5" x14ac:dyDescent="0.35"/>
    <row r="453" ht="14.5" x14ac:dyDescent="0.35"/>
    <row r="454" ht="14.5" x14ac:dyDescent="0.35"/>
    <row r="455" ht="14.5" x14ac:dyDescent="0.35"/>
    <row r="456" ht="14.5" x14ac:dyDescent="0.35"/>
    <row r="457" ht="14.5" x14ac:dyDescent="0.35"/>
    <row r="458" ht="14.5" x14ac:dyDescent="0.35"/>
    <row r="459" ht="14.5" x14ac:dyDescent="0.35"/>
    <row r="460" ht="14.5" x14ac:dyDescent="0.35"/>
    <row r="461" ht="14.5" x14ac:dyDescent="0.35"/>
    <row r="462" ht="14.5" x14ac:dyDescent="0.35"/>
    <row r="463" ht="14.5" x14ac:dyDescent="0.35"/>
    <row r="464" ht="14.5" x14ac:dyDescent="0.35"/>
    <row r="465" ht="14.5" x14ac:dyDescent="0.35"/>
    <row r="466" ht="14.5" x14ac:dyDescent="0.35"/>
    <row r="467" ht="14.5" x14ac:dyDescent="0.35"/>
    <row r="468" ht="14.5" x14ac:dyDescent="0.35"/>
    <row r="469" ht="14.5" x14ac:dyDescent="0.35"/>
    <row r="470" ht="14.5" x14ac:dyDescent="0.35"/>
    <row r="471" ht="14.5" x14ac:dyDescent="0.35"/>
    <row r="472" ht="14.5" x14ac:dyDescent="0.35"/>
    <row r="473" ht="14.5" x14ac:dyDescent="0.35"/>
    <row r="474" ht="14.5" x14ac:dyDescent="0.35"/>
    <row r="475" ht="14.5" x14ac:dyDescent="0.35"/>
    <row r="476" ht="14.5" x14ac:dyDescent="0.35"/>
    <row r="477" ht="14.5" x14ac:dyDescent="0.35"/>
    <row r="478" ht="14.5" x14ac:dyDescent="0.35"/>
    <row r="479" ht="14.5" x14ac:dyDescent="0.35"/>
    <row r="480" ht="14.5" x14ac:dyDescent="0.35"/>
    <row r="481" ht="14.5" x14ac:dyDescent="0.35"/>
    <row r="482" ht="14.5" x14ac:dyDescent="0.35"/>
    <row r="483" ht="14.5" x14ac:dyDescent="0.35"/>
    <row r="484" ht="14.5" x14ac:dyDescent="0.35"/>
    <row r="485" ht="14.5" x14ac:dyDescent="0.35"/>
    <row r="486" ht="14.5" x14ac:dyDescent="0.35"/>
    <row r="487" ht="14.5" x14ac:dyDescent="0.35"/>
    <row r="488" ht="14.5" x14ac:dyDescent="0.35"/>
    <row r="489" ht="14.5" x14ac:dyDescent="0.35"/>
    <row r="490" ht="14.5" x14ac:dyDescent="0.35"/>
    <row r="491" ht="14.5" x14ac:dyDescent="0.35"/>
    <row r="492" ht="14.5" x14ac:dyDescent="0.35"/>
    <row r="493" ht="14.5" x14ac:dyDescent="0.35"/>
    <row r="494" ht="14.5" x14ac:dyDescent="0.35"/>
    <row r="495" ht="14.5" x14ac:dyDescent="0.35"/>
    <row r="496" ht="14.5" x14ac:dyDescent="0.35"/>
    <row r="497" ht="14.5" x14ac:dyDescent="0.35"/>
    <row r="498" ht="14.5" x14ac:dyDescent="0.35"/>
    <row r="499" ht="14.5" x14ac:dyDescent="0.35"/>
    <row r="500" ht="14.5" x14ac:dyDescent="0.35"/>
    <row r="501" ht="14.5" x14ac:dyDescent="0.35"/>
    <row r="502" ht="14.5" x14ac:dyDescent="0.35"/>
    <row r="503" ht="14.5" x14ac:dyDescent="0.35"/>
    <row r="504" ht="14.5" x14ac:dyDescent="0.35"/>
    <row r="505" ht="14.5" x14ac:dyDescent="0.35"/>
    <row r="506" ht="14.5" x14ac:dyDescent="0.35"/>
    <row r="507" ht="14.5" x14ac:dyDescent="0.35"/>
    <row r="508" ht="14.5" x14ac:dyDescent="0.35"/>
    <row r="509" ht="14.5" x14ac:dyDescent="0.35"/>
    <row r="510" ht="14.5" x14ac:dyDescent="0.35"/>
    <row r="511" ht="14.5" x14ac:dyDescent="0.35"/>
    <row r="512" ht="14.5" x14ac:dyDescent="0.35"/>
    <row r="513" ht="14.5" x14ac:dyDescent="0.35"/>
    <row r="514" ht="14.5" x14ac:dyDescent="0.35"/>
    <row r="515" ht="14.5" x14ac:dyDescent="0.35"/>
    <row r="516" ht="14.5" x14ac:dyDescent="0.35"/>
    <row r="517" ht="14.5" x14ac:dyDescent="0.35"/>
    <row r="518" ht="14.5" x14ac:dyDescent="0.35"/>
    <row r="519" ht="14.5" x14ac:dyDescent="0.35"/>
    <row r="520" ht="14.5" x14ac:dyDescent="0.35"/>
    <row r="521" ht="14.5" x14ac:dyDescent="0.35"/>
    <row r="522" ht="14.5" x14ac:dyDescent="0.35"/>
    <row r="523" ht="14.5" x14ac:dyDescent="0.35"/>
    <row r="524" ht="14.5" x14ac:dyDescent="0.35"/>
    <row r="525" ht="14.5" x14ac:dyDescent="0.35"/>
    <row r="526" ht="14.5" x14ac:dyDescent="0.35"/>
    <row r="527" ht="14.5" x14ac:dyDescent="0.35"/>
    <row r="528" ht="14.5" x14ac:dyDescent="0.35"/>
    <row r="529" ht="14.5" x14ac:dyDescent="0.35"/>
    <row r="530" ht="14.5" x14ac:dyDescent="0.35"/>
    <row r="531" ht="14.5" x14ac:dyDescent="0.35"/>
    <row r="532" ht="14.5" x14ac:dyDescent="0.35"/>
    <row r="533" ht="14.5" x14ac:dyDescent="0.35"/>
    <row r="534" ht="14.5" x14ac:dyDescent="0.35"/>
    <row r="535" ht="14.5" x14ac:dyDescent="0.35"/>
    <row r="536" ht="14.5" x14ac:dyDescent="0.35"/>
    <row r="537" ht="14.5" x14ac:dyDescent="0.35"/>
    <row r="538" ht="14.5" x14ac:dyDescent="0.35"/>
    <row r="539" ht="14.5" x14ac:dyDescent="0.35"/>
    <row r="540" ht="14.5" x14ac:dyDescent="0.35"/>
    <row r="541" ht="14.5" x14ac:dyDescent="0.35"/>
    <row r="542" ht="14.5" x14ac:dyDescent="0.35"/>
    <row r="543" ht="14.5" x14ac:dyDescent="0.35"/>
    <row r="544" ht="14.5" x14ac:dyDescent="0.35"/>
    <row r="545" ht="14.5" x14ac:dyDescent="0.35"/>
    <row r="546" ht="14.5" x14ac:dyDescent="0.35"/>
    <row r="547" ht="14.5" x14ac:dyDescent="0.35"/>
    <row r="548" ht="14.5" x14ac:dyDescent="0.35"/>
    <row r="549" ht="14.5" x14ac:dyDescent="0.35"/>
    <row r="550" ht="14.5" x14ac:dyDescent="0.35"/>
    <row r="551" ht="14.5" x14ac:dyDescent="0.35"/>
    <row r="552" ht="14.5" x14ac:dyDescent="0.35"/>
    <row r="553" ht="14.5" x14ac:dyDescent="0.35"/>
    <row r="554" ht="14.5" x14ac:dyDescent="0.35"/>
    <row r="555" ht="14.5" x14ac:dyDescent="0.35"/>
    <row r="556" ht="14.5" x14ac:dyDescent="0.35"/>
    <row r="557" ht="14.5" x14ac:dyDescent="0.35"/>
    <row r="558" ht="14.5" x14ac:dyDescent="0.35"/>
    <row r="559" ht="14.5" x14ac:dyDescent="0.35"/>
    <row r="560" ht="14.5" x14ac:dyDescent="0.35"/>
    <row r="561" ht="14.5" x14ac:dyDescent="0.35"/>
    <row r="562" ht="14.5" x14ac:dyDescent="0.35"/>
    <row r="563" ht="14.5" x14ac:dyDescent="0.35"/>
    <row r="564" ht="14.5" x14ac:dyDescent="0.35"/>
    <row r="565" ht="14.5" x14ac:dyDescent="0.35"/>
    <row r="566" ht="14.5" x14ac:dyDescent="0.35"/>
    <row r="567" ht="14.5" x14ac:dyDescent="0.35"/>
    <row r="568" ht="14.5" x14ac:dyDescent="0.35"/>
    <row r="569" ht="14.5" x14ac:dyDescent="0.35"/>
    <row r="570" ht="14.5" x14ac:dyDescent="0.35"/>
    <row r="571" ht="14.5" x14ac:dyDescent="0.35"/>
    <row r="572" ht="14.5" x14ac:dyDescent="0.35"/>
    <row r="573" ht="14.5" x14ac:dyDescent="0.35"/>
    <row r="574" ht="14.5" x14ac:dyDescent="0.35"/>
    <row r="575" ht="14.5" x14ac:dyDescent="0.35"/>
    <row r="576" ht="14.5" x14ac:dyDescent="0.35"/>
    <row r="577" ht="14.5" x14ac:dyDescent="0.35"/>
    <row r="578" ht="14.5" x14ac:dyDescent="0.35"/>
    <row r="579" ht="14.5" x14ac:dyDescent="0.35"/>
    <row r="580" ht="14.5" x14ac:dyDescent="0.35"/>
    <row r="581" ht="14.5" x14ac:dyDescent="0.35"/>
    <row r="582" ht="14.5" x14ac:dyDescent="0.35"/>
    <row r="583" ht="14.5" x14ac:dyDescent="0.35"/>
    <row r="584" ht="14.5" x14ac:dyDescent="0.35"/>
    <row r="585" ht="14.5" x14ac:dyDescent="0.35"/>
    <row r="586" ht="14.5" x14ac:dyDescent="0.35"/>
    <row r="587" ht="14.5" x14ac:dyDescent="0.35"/>
    <row r="588" ht="14.5" x14ac:dyDescent="0.35"/>
    <row r="589" ht="14.5" x14ac:dyDescent="0.35"/>
    <row r="590" ht="14.5" x14ac:dyDescent="0.35"/>
    <row r="591" ht="14.5" x14ac:dyDescent="0.35"/>
    <row r="592" ht="14.5" x14ac:dyDescent="0.35"/>
    <row r="593" ht="14.5" x14ac:dyDescent="0.35"/>
    <row r="594" ht="14.5" x14ac:dyDescent="0.35"/>
    <row r="595" ht="14.5" x14ac:dyDescent="0.35"/>
    <row r="596" ht="14.5" x14ac:dyDescent="0.35"/>
    <row r="597" ht="14.5" x14ac:dyDescent="0.35"/>
    <row r="598" ht="14.5" x14ac:dyDescent="0.35"/>
    <row r="599" ht="14.5" x14ac:dyDescent="0.35"/>
    <row r="600" ht="14.5" x14ac:dyDescent="0.35"/>
    <row r="601" ht="14.5" x14ac:dyDescent="0.35"/>
    <row r="602" ht="14.5" x14ac:dyDescent="0.35"/>
    <row r="603" ht="14.5" x14ac:dyDescent="0.35"/>
    <row r="604" ht="14.5" x14ac:dyDescent="0.35"/>
    <row r="605" ht="14.5" x14ac:dyDescent="0.35"/>
    <row r="606" ht="14.5" x14ac:dyDescent="0.35"/>
    <row r="607" ht="14.5" x14ac:dyDescent="0.35"/>
    <row r="608" ht="14.5" x14ac:dyDescent="0.35"/>
    <row r="609" ht="14.5" x14ac:dyDescent="0.35"/>
    <row r="610" ht="14.5" x14ac:dyDescent="0.35"/>
    <row r="611" ht="14.5" x14ac:dyDescent="0.35"/>
    <row r="612" ht="14.5" x14ac:dyDescent="0.35"/>
    <row r="613" ht="14.5" x14ac:dyDescent="0.35"/>
    <row r="614" ht="14.5" x14ac:dyDescent="0.35"/>
    <row r="615" ht="14.5" x14ac:dyDescent="0.35"/>
    <row r="616" ht="14.5" x14ac:dyDescent="0.35"/>
    <row r="617" ht="14.5" x14ac:dyDescent="0.35"/>
    <row r="618" ht="14.5" x14ac:dyDescent="0.35"/>
    <row r="619" ht="14.5" x14ac:dyDescent="0.35"/>
    <row r="620" ht="14.5" x14ac:dyDescent="0.35"/>
    <row r="621" ht="14.5" x14ac:dyDescent="0.35"/>
    <row r="622" ht="14.5" x14ac:dyDescent="0.35"/>
    <row r="623" ht="14.5" x14ac:dyDescent="0.35"/>
    <row r="624" ht="14.5" x14ac:dyDescent="0.35"/>
    <row r="625" ht="14.5" x14ac:dyDescent="0.35"/>
    <row r="626" ht="14.5" x14ac:dyDescent="0.35"/>
    <row r="627" ht="14.5" x14ac:dyDescent="0.35"/>
    <row r="628" ht="14.5" x14ac:dyDescent="0.35"/>
    <row r="629" ht="14.5" x14ac:dyDescent="0.35"/>
    <row r="630" ht="14.5" x14ac:dyDescent="0.35"/>
    <row r="631" ht="14.5" x14ac:dyDescent="0.35"/>
    <row r="632" ht="14.5" x14ac:dyDescent="0.35"/>
    <row r="633" ht="14.5" x14ac:dyDescent="0.35"/>
    <row r="634" ht="14.5" x14ac:dyDescent="0.35"/>
    <row r="635" ht="14.5" x14ac:dyDescent="0.35"/>
    <row r="636" ht="14.5" x14ac:dyDescent="0.35"/>
    <row r="637" ht="14.5" x14ac:dyDescent="0.35"/>
    <row r="638" ht="14.5" x14ac:dyDescent="0.35"/>
    <row r="639" ht="14.5" x14ac:dyDescent="0.35"/>
    <row r="640" ht="14.5" x14ac:dyDescent="0.35"/>
    <row r="641" ht="14.5" x14ac:dyDescent="0.35"/>
    <row r="642" ht="14.5" x14ac:dyDescent="0.35"/>
    <row r="643" ht="14.5" x14ac:dyDescent="0.35"/>
    <row r="644" ht="14.5" x14ac:dyDescent="0.35"/>
    <row r="645" ht="14.5" x14ac:dyDescent="0.35"/>
    <row r="646" ht="14.5" x14ac:dyDescent="0.35"/>
    <row r="647" ht="14.5" x14ac:dyDescent="0.35"/>
    <row r="648" ht="14.5" x14ac:dyDescent="0.35"/>
    <row r="649" ht="14.5" x14ac:dyDescent="0.35"/>
    <row r="650" ht="14.5" x14ac:dyDescent="0.35"/>
    <row r="651" ht="14.5" x14ac:dyDescent="0.35"/>
    <row r="652" ht="14.5" x14ac:dyDescent="0.35"/>
    <row r="653" ht="14.5" x14ac:dyDescent="0.35"/>
    <row r="654" ht="14.5" x14ac:dyDescent="0.35"/>
    <row r="655" ht="14.5" x14ac:dyDescent="0.35"/>
    <row r="656" ht="14.5" x14ac:dyDescent="0.35"/>
    <row r="657" ht="14.5" x14ac:dyDescent="0.35"/>
    <row r="658" ht="14.5" x14ac:dyDescent="0.35"/>
    <row r="659" ht="14.5" x14ac:dyDescent="0.35"/>
    <row r="660" ht="14.5" x14ac:dyDescent="0.35"/>
    <row r="661" ht="14.5" x14ac:dyDescent="0.35"/>
    <row r="662" ht="14.5" x14ac:dyDescent="0.35"/>
    <row r="663" ht="14.5" x14ac:dyDescent="0.35"/>
    <row r="664" ht="14.5" x14ac:dyDescent="0.35"/>
    <row r="665" ht="14.5" x14ac:dyDescent="0.35"/>
    <row r="666" ht="14.5" x14ac:dyDescent="0.35"/>
    <row r="667" ht="14.5" x14ac:dyDescent="0.35"/>
    <row r="668" ht="14.5" x14ac:dyDescent="0.35"/>
    <row r="669" ht="14.5" x14ac:dyDescent="0.35"/>
    <row r="670" ht="14.5" x14ac:dyDescent="0.35"/>
    <row r="671" ht="14.5" x14ac:dyDescent="0.35"/>
    <row r="672" ht="14.5" x14ac:dyDescent="0.35"/>
    <row r="673" ht="14.5" x14ac:dyDescent="0.35"/>
    <row r="674" ht="14.5" x14ac:dyDescent="0.35"/>
    <row r="675" ht="14.5" x14ac:dyDescent="0.35"/>
    <row r="676" ht="14.5" x14ac:dyDescent="0.35"/>
    <row r="677" ht="14.5" x14ac:dyDescent="0.35"/>
    <row r="678" ht="14.5" x14ac:dyDescent="0.35"/>
    <row r="679" ht="14.5" x14ac:dyDescent="0.35"/>
    <row r="680" ht="14.5" x14ac:dyDescent="0.35"/>
    <row r="681" ht="14.5" x14ac:dyDescent="0.35"/>
    <row r="682" ht="14.5" x14ac:dyDescent="0.35"/>
    <row r="683" ht="14.5" x14ac:dyDescent="0.35"/>
    <row r="684" ht="14.5" x14ac:dyDescent="0.35"/>
    <row r="685" ht="14.5" x14ac:dyDescent="0.35"/>
    <row r="686" ht="14.5" x14ac:dyDescent="0.35"/>
    <row r="687" ht="14.5" x14ac:dyDescent="0.35"/>
    <row r="688" ht="14.5" x14ac:dyDescent="0.35"/>
    <row r="689" ht="14.5" x14ac:dyDescent="0.35"/>
    <row r="690" ht="14.5" x14ac:dyDescent="0.35"/>
    <row r="691" ht="14.5" x14ac:dyDescent="0.35"/>
    <row r="692" ht="14.5" x14ac:dyDescent="0.35"/>
    <row r="693" ht="14.5" x14ac:dyDescent="0.35"/>
    <row r="694" ht="14.5" x14ac:dyDescent="0.35"/>
    <row r="695" ht="14.5" x14ac:dyDescent="0.35"/>
    <row r="696" ht="14.5" x14ac:dyDescent="0.35"/>
    <row r="697" ht="14.5" x14ac:dyDescent="0.35"/>
    <row r="698" ht="14.5" x14ac:dyDescent="0.35"/>
    <row r="699" ht="14.5" x14ac:dyDescent="0.35"/>
    <row r="700" ht="14.5" x14ac:dyDescent="0.35"/>
    <row r="701" ht="14.5" x14ac:dyDescent="0.35"/>
    <row r="702" ht="14.5" x14ac:dyDescent="0.35"/>
    <row r="703" ht="14.5" x14ac:dyDescent="0.35"/>
    <row r="704" ht="14.5" x14ac:dyDescent="0.35"/>
    <row r="705" ht="14.5" x14ac:dyDescent="0.35"/>
    <row r="706" ht="14.5" x14ac:dyDescent="0.35"/>
    <row r="707" ht="14.5" x14ac:dyDescent="0.35"/>
    <row r="708" ht="14.5" x14ac:dyDescent="0.35"/>
    <row r="709" ht="14.5" x14ac:dyDescent="0.35"/>
    <row r="710" ht="14.5" x14ac:dyDescent="0.35"/>
    <row r="711" ht="14.5" x14ac:dyDescent="0.35"/>
    <row r="712" ht="14.5" x14ac:dyDescent="0.35"/>
    <row r="713" ht="14.5" x14ac:dyDescent="0.35"/>
    <row r="714" ht="14.5" x14ac:dyDescent="0.35"/>
    <row r="715" ht="14.5" x14ac:dyDescent="0.35"/>
    <row r="716" ht="14.5" x14ac:dyDescent="0.35"/>
    <row r="717" ht="14.5" x14ac:dyDescent="0.35"/>
    <row r="718" ht="14.5" x14ac:dyDescent="0.35"/>
    <row r="719" ht="14.5" x14ac:dyDescent="0.35"/>
    <row r="720" ht="14.5" x14ac:dyDescent="0.35"/>
    <row r="721" ht="14.5" x14ac:dyDescent="0.35"/>
    <row r="722" ht="14.5" x14ac:dyDescent="0.35"/>
    <row r="723" ht="14.5" x14ac:dyDescent="0.35"/>
    <row r="724" ht="14.5" x14ac:dyDescent="0.35"/>
    <row r="725" ht="14.5" x14ac:dyDescent="0.35"/>
    <row r="726" ht="14.5" x14ac:dyDescent="0.35"/>
    <row r="727" ht="14.5" x14ac:dyDescent="0.35"/>
    <row r="728" ht="14.5" x14ac:dyDescent="0.35"/>
    <row r="729" ht="14.5" x14ac:dyDescent="0.35"/>
    <row r="730" ht="14.5" x14ac:dyDescent="0.35"/>
    <row r="731" ht="14.5" x14ac:dyDescent="0.35"/>
    <row r="732" ht="14.5" x14ac:dyDescent="0.35"/>
    <row r="733" ht="14.5" x14ac:dyDescent="0.35"/>
    <row r="734" ht="14.5" x14ac:dyDescent="0.35"/>
    <row r="735" ht="14.5" x14ac:dyDescent="0.35"/>
    <row r="736" ht="14.5" x14ac:dyDescent="0.35"/>
    <row r="737" ht="14.5" x14ac:dyDescent="0.35"/>
    <row r="738" ht="14.5" x14ac:dyDescent="0.35"/>
    <row r="739" ht="14.5" x14ac:dyDescent="0.35"/>
    <row r="740" ht="14.5" x14ac:dyDescent="0.35"/>
    <row r="741" ht="14.5" x14ac:dyDescent="0.35"/>
    <row r="742" ht="14.5" x14ac:dyDescent="0.35"/>
    <row r="743" ht="14.5" x14ac:dyDescent="0.35"/>
    <row r="744" ht="14.5" x14ac:dyDescent="0.35"/>
    <row r="745" ht="14.5" x14ac:dyDescent="0.35"/>
    <row r="746" ht="14.5" x14ac:dyDescent="0.35"/>
    <row r="747" ht="14.5" x14ac:dyDescent="0.35"/>
    <row r="748" ht="14.5" x14ac:dyDescent="0.35"/>
    <row r="749" ht="14.5" x14ac:dyDescent="0.35"/>
    <row r="750" ht="14.5" x14ac:dyDescent="0.35"/>
    <row r="751" ht="14.5" x14ac:dyDescent="0.35"/>
    <row r="752" ht="14.5" x14ac:dyDescent="0.35"/>
    <row r="753" ht="14.5" x14ac:dyDescent="0.35"/>
    <row r="754" ht="14.5" x14ac:dyDescent="0.35"/>
    <row r="755" ht="14.5" x14ac:dyDescent="0.35"/>
    <row r="756" ht="14.5" x14ac:dyDescent="0.35"/>
    <row r="757" ht="14.5" x14ac:dyDescent="0.35"/>
    <row r="758" ht="14.5" x14ac:dyDescent="0.35"/>
    <row r="759" ht="14.5" x14ac:dyDescent="0.35"/>
    <row r="760" ht="14.5" x14ac:dyDescent="0.35"/>
    <row r="761" ht="14.5" x14ac:dyDescent="0.35"/>
    <row r="762" ht="14.5" x14ac:dyDescent="0.35"/>
    <row r="763" ht="14.5" x14ac:dyDescent="0.35"/>
    <row r="764" ht="14.5" x14ac:dyDescent="0.35"/>
    <row r="765" ht="14.5" x14ac:dyDescent="0.35"/>
    <row r="766" ht="14.5" x14ac:dyDescent="0.35"/>
    <row r="767" ht="14.5" x14ac:dyDescent="0.35"/>
    <row r="768" ht="14.5" x14ac:dyDescent="0.35"/>
    <row r="769" ht="14.5" x14ac:dyDescent="0.35"/>
    <row r="770" ht="14.5" x14ac:dyDescent="0.35"/>
    <row r="771" ht="14.5" x14ac:dyDescent="0.35"/>
    <row r="772" ht="14.5" x14ac:dyDescent="0.35"/>
    <row r="773" ht="14.5" x14ac:dyDescent="0.35"/>
    <row r="774" ht="14.5" x14ac:dyDescent="0.35"/>
    <row r="775" ht="14.5" x14ac:dyDescent="0.35"/>
    <row r="776" ht="14.5" x14ac:dyDescent="0.35"/>
    <row r="777" ht="14.5" x14ac:dyDescent="0.35"/>
    <row r="778" ht="14.5" x14ac:dyDescent="0.35"/>
    <row r="779" ht="14.5" x14ac:dyDescent="0.35"/>
    <row r="780" ht="14.5" x14ac:dyDescent="0.35"/>
    <row r="781" ht="14.5" x14ac:dyDescent="0.35"/>
    <row r="782" ht="14.5" x14ac:dyDescent="0.35"/>
    <row r="783" ht="14.5" x14ac:dyDescent="0.35"/>
    <row r="784" ht="14.5" x14ac:dyDescent="0.35"/>
    <row r="785" ht="14.5" x14ac:dyDescent="0.35"/>
    <row r="786" ht="14.5" x14ac:dyDescent="0.35"/>
    <row r="787" ht="14.5" x14ac:dyDescent="0.35"/>
    <row r="788" ht="14.5" x14ac:dyDescent="0.35"/>
    <row r="789" ht="14.5" x14ac:dyDescent="0.35"/>
    <row r="790" ht="14.5" x14ac:dyDescent="0.35"/>
    <row r="791" ht="14.5" x14ac:dyDescent="0.35"/>
    <row r="792" ht="14.5" x14ac:dyDescent="0.35"/>
    <row r="793" ht="14.5" x14ac:dyDescent="0.35"/>
    <row r="794" ht="14.5" x14ac:dyDescent="0.35"/>
    <row r="795" ht="14.5" x14ac:dyDescent="0.35"/>
    <row r="796" ht="14.5" x14ac:dyDescent="0.35"/>
    <row r="797" ht="14.5" x14ac:dyDescent="0.35"/>
    <row r="798" ht="14.5" x14ac:dyDescent="0.35"/>
    <row r="799" ht="14.5" x14ac:dyDescent="0.35"/>
    <row r="800" ht="14.5" x14ac:dyDescent="0.35"/>
    <row r="801" ht="14.5" x14ac:dyDescent="0.35"/>
    <row r="802" ht="14.5" x14ac:dyDescent="0.35"/>
    <row r="803" ht="14.5" x14ac:dyDescent="0.35"/>
    <row r="804" ht="14.5" x14ac:dyDescent="0.35"/>
    <row r="805" ht="14.5" x14ac:dyDescent="0.35"/>
    <row r="806" ht="14.5" x14ac:dyDescent="0.35"/>
    <row r="807" ht="14.5" x14ac:dyDescent="0.35"/>
    <row r="808" ht="14.5" x14ac:dyDescent="0.35"/>
    <row r="809" ht="14.5" x14ac:dyDescent="0.35"/>
    <row r="810" ht="14.5" x14ac:dyDescent="0.35"/>
    <row r="811" ht="14.5" x14ac:dyDescent="0.35"/>
    <row r="812" ht="14.5" x14ac:dyDescent="0.35"/>
    <row r="813" ht="14.5" x14ac:dyDescent="0.35"/>
    <row r="814" ht="14.5" x14ac:dyDescent="0.35"/>
    <row r="815" ht="14.5" x14ac:dyDescent="0.35"/>
    <row r="816" ht="14.5" x14ac:dyDescent="0.35"/>
    <row r="817" ht="14.5" x14ac:dyDescent="0.35"/>
    <row r="818" ht="14.5" x14ac:dyDescent="0.35"/>
    <row r="819" ht="14.5" x14ac:dyDescent="0.35"/>
    <row r="820" ht="14.5" x14ac:dyDescent="0.35"/>
    <row r="821" ht="14.5" x14ac:dyDescent="0.35"/>
    <row r="822" ht="14.5" x14ac:dyDescent="0.35"/>
    <row r="823" ht="14.5" x14ac:dyDescent="0.35"/>
    <row r="824" ht="14.5" x14ac:dyDescent="0.35"/>
    <row r="825" ht="14.5" x14ac:dyDescent="0.35"/>
    <row r="826" ht="14.5" x14ac:dyDescent="0.35"/>
    <row r="827" ht="14.5" x14ac:dyDescent="0.35"/>
    <row r="828" ht="14.5" x14ac:dyDescent="0.35"/>
    <row r="829" ht="14.5" x14ac:dyDescent="0.35"/>
    <row r="830" ht="14.5" x14ac:dyDescent="0.35"/>
    <row r="831" ht="14.5" x14ac:dyDescent="0.35"/>
    <row r="832" ht="14.5" x14ac:dyDescent="0.35"/>
    <row r="833" ht="14.5" x14ac:dyDescent="0.35"/>
    <row r="834" ht="14.5" x14ac:dyDescent="0.35"/>
    <row r="835" ht="14.5" x14ac:dyDescent="0.35"/>
    <row r="836" ht="14.5" x14ac:dyDescent="0.35"/>
    <row r="837" ht="14.5" x14ac:dyDescent="0.35"/>
    <row r="838" ht="14.5" x14ac:dyDescent="0.35"/>
    <row r="839" ht="14.5" x14ac:dyDescent="0.35"/>
    <row r="840" ht="14.5" x14ac:dyDescent="0.35"/>
    <row r="841" ht="14.5" x14ac:dyDescent="0.35"/>
    <row r="842" ht="14.5" x14ac:dyDescent="0.35"/>
    <row r="843" ht="14.5" x14ac:dyDescent="0.35"/>
    <row r="844" ht="14.5" x14ac:dyDescent="0.35"/>
    <row r="845" ht="14.5" x14ac:dyDescent="0.35"/>
    <row r="846" ht="14.5" x14ac:dyDescent="0.35"/>
    <row r="847" ht="14.5" x14ac:dyDescent="0.35"/>
    <row r="848" ht="14.5" x14ac:dyDescent="0.35"/>
    <row r="849" ht="14.5" x14ac:dyDescent="0.35"/>
    <row r="850" ht="14.5" x14ac:dyDescent="0.35"/>
    <row r="851" ht="14.5" x14ac:dyDescent="0.35"/>
    <row r="852" ht="14.5" x14ac:dyDescent="0.35"/>
    <row r="853" ht="14.5" x14ac:dyDescent="0.35"/>
    <row r="854" ht="14.5" x14ac:dyDescent="0.35"/>
    <row r="855" ht="14.5" x14ac:dyDescent="0.35"/>
    <row r="856" ht="14.5" x14ac:dyDescent="0.35"/>
    <row r="857" ht="14.5" x14ac:dyDescent="0.35"/>
    <row r="858" ht="14.5" x14ac:dyDescent="0.35"/>
    <row r="859" ht="14.5" x14ac:dyDescent="0.35"/>
    <row r="860" ht="14.5" x14ac:dyDescent="0.35"/>
    <row r="861" ht="14.5" x14ac:dyDescent="0.35"/>
    <row r="862" ht="14.5" x14ac:dyDescent="0.35"/>
    <row r="863" ht="14.5" x14ac:dyDescent="0.35"/>
    <row r="864" ht="14.5" x14ac:dyDescent="0.35"/>
    <row r="865" ht="14.5" x14ac:dyDescent="0.35"/>
    <row r="866" ht="14.5" x14ac:dyDescent="0.35"/>
    <row r="867" ht="14.5" x14ac:dyDescent="0.35"/>
    <row r="868" ht="14.5" x14ac:dyDescent="0.35"/>
    <row r="869" ht="14.5" x14ac:dyDescent="0.35"/>
    <row r="870" ht="14.5" x14ac:dyDescent="0.35"/>
    <row r="871" ht="14.5" x14ac:dyDescent="0.35"/>
    <row r="872" ht="14.5" x14ac:dyDescent="0.35"/>
    <row r="873" ht="14.5" x14ac:dyDescent="0.35"/>
    <row r="874" ht="14.5" x14ac:dyDescent="0.35"/>
    <row r="875" ht="14.5" x14ac:dyDescent="0.35"/>
    <row r="876" ht="14.5" x14ac:dyDescent="0.35"/>
    <row r="877" ht="14.5" x14ac:dyDescent="0.35"/>
    <row r="878" ht="14.5" x14ac:dyDescent="0.35"/>
    <row r="879" ht="14.5" x14ac:dyDescent="0.35"/>
    <row r="880" ht="14.5" x14ac:dyDescent="0.35"/>
    <row r="881" ht="14.5" x14ac:dyDescent="0.35"/>
    <row r="882" ht="14.5" x14ac:dyDescent="0.35"/>
    <row r="883" ht="14.5" x14ac:dyDescent="0.35"/>
    <row r="884" ht="14.5" x14ac:dyDescent="0.35"/>
    <row r="885" ht="14.5" x14ac:dyDescent="0.35"/>
    <row r="886" ht="14.5" x14ac:dyDescent="0.35"/>
    <row r="887" ht="14.5" x14ac:dyDescent="0.35"/>
    <row r="888" ht="14.5" x14ac:dyDescent="0.35"/>
    <row r="889" ht="14.5" x14ac:dyDescent="0.35"/>
    <row r="890" ht="14.5" x14ac:dyDescent="0.35"/>
    <row r="891" ht="14.5" x14ac:dyDescent="0.35"/>
    <row r="892" ht="14.5" x14ac:dyDescent="0.35"/>
    <row r="893" ht="14.5" x14ac:dyDescent="0.35"/>
    <row r="894" ht="14.5" x14ac:dyDescent="0.35"/>
    <row r="895" ht="14.5" x14ac:dyDescent="0.35"/>
    <row r="896" ht="14.5" x14ac:dyDescent="0.35"/>
    <row r="897" ht="14.5" x14ac:dyDescent="0.35"/>
    <row r="898" ht="14.5" x14ac:dyDescent="0.35"/>
    <row r="899" ht="14.5" x14ac:dyDescent="0.35"/>
    <row r="900" ht="14.5" x14ac:dyDescent="0.35"/>
    <row r="901" ht="14.5" x14ac:dyDescent="0.35"/>
    <row r="902" ht="14.5" x14ac:dyDescent="0.35"/>
    <row r="903" ht="14.5" x14ac:dyDescent="0.35"/>
    <row r="904" ht="14.5" x14ac:dyDescent="0.35"/>
    <row r="905" ht="14.5" x14ac:dyDescent="0.35"/>
    <row r="906" ht="14.5" x14ac:dyDescent="0.35"/>
    <row r="907" ht="14.5" x14ac:dyDescent="0.35"/>
    <row r="908" ht="14.5" x14ac:dyDescent="0.35"/>
    <row r="909" ht="14.5" x14ac:dyDescent="0.35"/>
    <row r="910" ht="14.5" x14ac:dyDescent="0.35"/>
    <row r="911" ht="14.5" x14ac:dyDescent="0.35"/>
    <row r="912" ht="14.5" x14ac:dyDescent="0.35"/>
    <row r="913" ht="14.5" x14ac:dyDescent="0.35"/>
    <row r="914" ht="14.5" x14ac:dyDescent="0.35"/>
    <row r="915" ht="14.5" x14ac:dyDescent="0.35"/>
    <row r="916" ht="14.5" x14ac:dyDescent="0.35"/>
    <row r="917" ht="14.5" x14ac:dyDescent="0.35"/>
    <row r="918" ht="14.5" x14ac:dyDescent="0.35"/>
    <row r="919" ht="14.5" x14ac:dyDescent="0.35"/>
    <row r="920" ht="14.5" x14ac:dyDescent="0.35"/>
    <row r="921" ht="14.5" x14ac:dyDescent="0.35"/>
    <row r="922" ht="14.5" x14ac:dyDescent="0.35"/>
    <row r="923" ht="14.5" x14ac:dyDescent="0.35"/>
    <row r="924" ht="14.5" x14ac:dyDescent="0.35"/>
    <row r="925" ht="14.5" x14ac:dyDescent="0.35"/>
    <row r="926" ht="14.5" x14ac:dyDescent="0.35"/>
    <row r="927" ht="14.5" x14ac:dyDescent="0.35"/>
    <row r="928" ht="14.5" x14ac:dyDescent="0.35"/>
    <row r="929" ht="14.5" x14ac:dyDescent="0.35"/>
    <row r="930" ht="14.5" x14ac:dyDescent="0.35"/>
    <row r="931" ht="14.5" x14ac:dyDescent="0.35"/>
    <row r="932" ht="14.5" x14ac:dyDescent="0.35"/>
    <row r="933" ht="14.5" x14ac:dyDescent="0.35"/>
    <row r="934" ht="14.5" x14ac:dyDescent="0.35"/>
    <row r="935" ht="14.5" x14ac:dyDescent="0.35"/>
    <row r="936" ht="14.5" x14ac:dyDescent="0.35"/>
    <row r="937" ht="14.5" x14ac:dyDescent="0.35"/>
    <row r="938" ht="14.5" x14ac:dyDescent="0.35"/>
    <row r="939" ht="14.5" x14ac:dyDescent="0.35"/>
    <row r="940" ht="14.5" x14ac:dyDescent="0.35"/>
    <row r="941" ht="14.5" x14ac:dyDescent="0.35"/>
    <row r="942" ht="14.5" x14ac:dyDescent="0.35"/>
    <row r="943" ht="14.5" x14ac:dyDescent="0.35"/>
    <row r="944" ht="14.5" x14ac:dyDescent="0.35"/>
    <row r="945" ht="14.5" x14ac:dyDescent="0.35"/>
    <row r="946" ht="14.5" x14ac:dyDescent="0.35"/>
    <row r="947" ht="14.5" x14ac:dyDescent="0.35"/>
    <row r="948" ht="14.5" x14ac:dyDescent="0.35"/>
    <row r="949" ht="14.5" x14ac:dyDescent="0.35"/>
    <row r="950" ht="14.5" x14ac:dyDescent="0.35"/>
    <row r="951" ht="14.5" x14ac:dyDescent="0.35"/>
    <row r="952" ht="14.5" x14ac:dyDescent="0.35"/>
    <row r="953" ht="14.5" x14ac:dyDescent="0.35"/>
    <row r="954" ht="14.5" x14ac:dyDescent="0.35"/>
    <row r="955" ht="14.5" x14ac:dyDescent="0.35"/>
    <row r="956" ht="14.5" x14ac:dyDescent="0.35"/>
    <row r="957" ht="14.5" x14ac:dyDescent="0.35"/>
    <row r="958" ht="14.5" x14ac:dyDescent="0.35"/>
    <row r="959" ht="14.5" x14ac:dyDescent="0.35"/>
    <row r="960" ht="14.5" x14ac:dyDescent="0.35"/>
    <row r="961" ht="14.5" x14ac:dyDescent="0.35"/>
    <row r="962" ht="14.5" x14ac:dyDescent="0.35"/>
    <row r="963" ht="14.5" x14ac:dyDescent="0.35"/>
    <row r="964" ht="14.5" x14ac:dyDescent="0.35"/>
    <row r="965" ht="14.5" x14ac:dyDescent="0.35"/>
    <row r="966" ht="14.5" x14ac:dyDescent="0.35"/>
    <row r="967" ht="14.5" x14ac:dyDescent="0.35"/>
    <row r="968" ht="14.5" x14ac:dyDescent="0.35"/>
    <row r="969" ht="14.5" x14ac:dyDescent="0.35"/>
    <row r="970" ht="14.5" x14ac:dyDescent="0.35"/>
    <row r="971" ht="14.5" x14ac:dyDescent="0.35"/>
    <row r="972" ht="14.5" x14ac:dyDescent="0.35"/>
    <row r="973" ht="14.5" x14ac:dyDescent="0.35"/>
    <row r="974" ht="14.5" x14ac:dyDescent="0.35"/>
    <row r="975" ht="14.5" x14ac:dyDescent="0.35"/>
    <row r="976" ht="14.5" x14ac:dyDescent="0.35"/>
    <row r="977" ht="14.5" x14ac:dyDescent="0.35"/>
    <row r="978" ht="14.5" x14ac:dyDescent="0.35"/>
    <row r="979" ht="14.5" x14ac:dyDescent="0.35"/>
    <row r="980" ht="14.5" x14ac:dyDescent="0.35"/>
    <row r="981" ht="14.5" x14ac:dyDescent="0.35"/>
    <row r="982" ht="14.5" x14ac:dyDescent="0.35"/>
    <row r="983" ht="14.5" x14ac:dyDescent="0.35"/>
    <row r="984" ht="14.5" x14ac:dyDescent="0.35"/>
    <row r="985" ht="14.5" x14ac:dyDescent="0.35"/>
  </sheetData>
  <hyperlinks>
    <hyperlink ref="F4" r:id="rId1" xr:uid="{761C247D-11AE-8243-AB2A-60F475C89CD2}"/>
    <hyperlink ref="K4" r:id="rId2" tooltip="Email sharonb@ku.edu" display="mailto:sharonb@ku.edu" xr:uid="{B97025B4-5935-2A41-BEEE-9614676E0F36}"/>
  </hyperlink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zoomScale="150" zoomScaleNormal="150" workbookViewId="0">
      <selection activeCell="C4" sqref="C4:D4"/>
    </sheetView>
  </sheetViews>
  <sheetFormatPr defaultColWidth="15.1796875" defaultRowHeight="15" customHeight="1" x14ac:dyDescent="0.35"/>
  <cols>
    <col min="1" max="1" width="14.6328125" style="3" customWidth="1"/>
    <col min="2" max="2" width="14.6328125" style="9" bestFit="1" customWidth="1"/>
    <col min="3" max="3" width="8.6328125" style="9" customWidth="1"/>
    <col min="4" max="4" width="9.453125" style="9" bestFit="1" customWidth="1"/>
    <col min="5" max="5" width="12.6328125" style="3" customWidth="1"/>
    <col min="6" max="6" width="13.1796875" style="3" bestFit="1" customWidth="1"/>
    <col min="7" max="7" width="33.1796875" style="3" customWidth="1"/>
    <col min="8" max="16384" width="15.1796875" style="3"/>
  </cols>
  <sheetData>
    <row r="1" spans="1:7" s="21" customFormat="1" ht="20.25" customHeight="1" x14ac:dyDescent="0.35">
      <c r="A1" s="18" t="s">
        <v>637</v>
      </c>
      <c r="B1" s="18" t="s">
        <v>14</v>
      </c>
      <c r="C1" s="18" t="s">
        <v>400</v>
      </c>
      <c r="D1" s="18" t="s">
        <v>401</v>
      </c>
      <c r="E1" s="24" t="s">
        <v>402</v>
      </c>
      <c r="F1" s="25" t="s">
        <v>403</v>
      </c>
      <c r="G1" s="24" t="s">
        <v>15</v>
      </c>
    </row>
    <row r="2" spans="1:7" s="21" customFormat="1" ht="27.75" customHeight="1" x14ac:dyDescent="0.35">
      <c r="A2" s="22" t="s">
        <v>638</v>
      </c>
      <c r="B2" s="26" t="s">
        <v>16</v>
      </c>
      <c r="C2" s="26" t="s">
        <v>17</v>
      </c>
      <c r="D2" s="26" t="s">
        <v>18</v>
      </c>
      <c r="E2" s="22" t="s">
        <v>19</v>
      </c>
      <c r="F2" s="22" t="s">
        <v>21</v>
      </c>
      <c r="G2" s="22" t="s">
        <v>20</v>
      </c>
    </row>
    <row r="3" spans="1:7" s="33" customFormat="1" ht="30" customHeight="1" x14ac:dyDescent="0.35">
      <c r="A3" s="28" t="s">
        <v>331</v>
      </c>
      <c r="B3" s="27"/>
      <c r="C3" s="27" t="s">
        <v>31</v>
      </c>
      <c r="D3" s="27" t="s">
        <v>31</v>
      </c>
      <c r="E3" s="28" t="s">
        <v>32</v>
      </c>
      <c r="F3" s="28" t="s">
        <v>33</v>
      </c>
      <c r="G3" s="28"/>
    </row>
    <row r="4" spans="1:7" ht="14.5" x14ac:dyDescent="0.35">
      <c r="A4" s="125" t="s">
        <v>989</v>
      </c>
      <c r="B4" s="126" t="s">
        <v>998</v>
      </c>
      <c r="C4" s="126">
        <v>34.606940000000002</v>
      </c>
      <c r="D4" s="126">
        <v>-81.720280000000002</v>
      </c>
      <c r="E4" s="127" t="s">
        <v>220</v>
      </c>
      <c r="F4" s="128"/>
      <c r="G4" s="128"/>
    </row>
    <row r="5" spans="1:7" ht="14.5" x14ac:dyDescent="0.35">
      <c r="A5" s="125"/>
      <c r="B5" s="126"/>
      <c r="E5" s="127"/>
      <c r="F5" s="128"/>
      <c r="G5" s="128"/>
    </row>
    <row r="6" spans="1:7" ht="14.5" x14ac:dyDescent="0.35">
      <c r="A6" s="125"/>
      <c r="B6" s="126"/>
      <c r="C6" s="126"/>
      <c r="D6" s="126"/>
      <c r="E6" s="127"/>
      <c r="F6" s="128"/>
      <c r="G6" s="128"/>
    </row>
    <row r="7" spans="1:7" ht="14.5" x14ac:dyDescent="0.35">
      <c r="A7" s="125"/>
      <c r="B7" s="126"/>
      <c r="C7" s="126"/>
      <c r="D7" s="126"/>
      <c r="E7" s="127"/>
      <c r="F7" s="128"/>
      <c r="G7" s="128"/>
    </row>
    <row r="8" spans="1:7" ht="14.5" x14ac:dyDescent="0.35">
      <c r="A8" s="125"/>
      <c r="B8" s="126"/>
      <c r="C8" s="126"/>
      <c r="D8" s="126"/>
      <c r="E8" s="127"/>
      <c r="F8" s="128"/>
      <c r="G8" s="128"/>
    </row>
    <row r="9" spans="1:7" ht="14.5" x14ac:dyDescent="0.35">
      <c r="B9" s="7"/>
      <c r="C9" s="7"/>
      <c r="D9" s="7"/>
      <c r="E9" s="12"/>
      <c r="F9" s="12"/>
      <c r="G9" s="12"/>
    </row>
    <row r="10" spans="1:7" ht="14.5" x14ac:dyDescent="0.35">
      <c r="B10" s="7"/>
      <c r="C10" s="7"/>
      <c r="D10" s="7"/>
      <c r="E10" s="12"/>
      <c r="F10" s="12"/>
      <c r="G10" s="12"/>
    </row>
    <row r="11" spans="1:7" ht="14.5" x14ac:dyDescent="0.35">
      <c r="B11" s="7"/>
      <c r="C11" s="7"/>
      <c r="D11" s="7"/>
      <c r="E11" s="12"/>
      <c r="F11" s="12"/>
      <c r="G11" s="12"/>
    </row>
    <row r="12" spans="1:7" ht="14.5" x14ac:dyDescent="0.35">
      <c r="B12" s="7"/>
      <c r="C12" s="7"/>
      <c r="D12" s="7"/>
      <c r="E12" s="12"/>
      <c r="F12" s="12"/>
      <c r="G12" s="12"/>
    </row>
    <row r="13" spans="1:7" ht="14.5" x14ac:dyDescent="0.35">
      <c r="B13" s="7"/>
      <c r="C13" s="7"/>
      <c r="D13" s="7"/>
      <c r="E13" s="12"/>
      <c r="F13" s="12"/>
      <c r="G13" s="12"/>
    </row>
    <row r="14" spans="1:7" ht="14.5" x14ac:dyDescent="0.35">
      <c r="B14" s="7"/>
      <c r="C14" s="7"/>
      <c r="D14" s="7"/>
      <c r="E14" s="12"/>
      <c r="F14" s="12"/>
      <c r="G14" s="12"/>
    </row>
    <row r="15" spans="1:7" ht="14.5" x14ac:dyDescent="0.35">
      <c r="B15" s="7"/>
      <c r="C15" s="7"/>
      <c r="D15" s="7"/>
      <c r="E15" s="12"/>
      <c r="F15" s="12"/>
      <c r="G15" s="12"/>
    </row>
    <row r="16" spans="1:7" ht="14.5" x14ac:dyDescent="0.35">
      <c r="B16" s="7"/>
      <c r="C16" s="7"/>
      <c r="D16" s="7"/>
      <c r="E16" s="12"/>
      <c r="F16" s="12"/>
      <c r="G16" s="12"/>
    </row>
    <row r="17" spans="2:7" ht="14.5" x14ac:dyDescent="0.35">
      <c r="B17" s="7"/>
      <c r="C17" s="7"/>
      <c r="D17" s="7"/>
      <c r="E17" s="12"/>
      <c r="F17" s="12"/>
      <c r="G17" s="12"/>
    </row>
    <row r="18" spans="2:7" ht="14.5" x14ac:dyDescent="0.35">
      <c r="B18" s="7"/>
      <c r="C18" s="7"/>
      <c r="D18" s="7"/>
      <c r="E18" s="12"/>
      <c r="F18" s="12"/>
      <c r="G18" s="12"/>
    </row>
    <row r="19" spans="2:7" ht="14.5" x14ac:dyDescent="0.35">
      <c r="B19" s="7"/>
      <c r="C19" s="7"/>
      <c r="D19" s="7"/>
      <c r="E19" s="12"/>
      <c r="F19" s="12"/>
      <c r="G19" s="12"/>
    </row>
    <row r="20" spans="2:7" ht="14.5" x14ac:dyDescent="0.35">
      <c r="B20" s="7"/>
      <c r="C20" s="7"/>
      <c r="D20" s="7"/>
      <c r="E20" s="12"/>
      <c r="F20" s="12"/>
      <c r="G20" s="12"/>
    </row>
    <row r="21" spans="2:7" ht="14.5" x14ac:dyDescent="0.35">
      <c r="B21" s="7"/>
      <c r="C21" s="7"/>
      <c r="D21" s="7"/>
      <c r="E21" s="12"/>
      <c r="F21" s="12"/>
      <c r="G21" s="12"/>
    </row>
    <row r="22" spans="2:7" ht="14.5" x14ac:dyDescent="0.35">
      <c r="B22" s="7"/>
      <c r="C22" s="7"/>
      <c r="D22" s="7"/>
      <c r="E22" s="12"/>
      <c r="F22" s="12"/>
      <c r="G22" s="12"/>
    </row>
    <row r="23" spans="2:7" ht="14.5" x14ac:dyDescent="0.35">
      <c r="B23" s="7"/>
      <c r="C23" s="7"/>
      <c r="D23" s="7"/>
      <c r="E23" s="12"/>
      <c r="F23" s="12"/>
      <c r="G23" s="12"/>
    </row>
    <row r="24" spans="2:7" ht="14.5" x14ac:dyDescent="0.35">
      <c r="B24" s="7"/>
      <c r="C24" s="7"/>
      <c r="D24" s="7"/>
      <c r="E24" s="12"/>
      <c r="F24" s="12"/>
      <c r="G24" s="12"/>
    </row>
    <row r="25" spans="2:7" ht="14.5" x14ac:dyDescent="0.35">
      <c r="B25" s="7"/>
      <c r="C25" s="7"/>
      <c r="D25" s="7"/>
      <c r="E25" s="12"/>
      <c r="F25" s="12"/>
      <c r="G25" s="12"/>
    </row>
    <row r="26" spans="2:7" ht="14.5" x14ac:dyDescent="0.35">
      <c r="B26" s="7"/>
      <c r="C26" s="7"/>
      <c r="D26" s="7"/>
      <c r="E26" s="12"/>
      <c r="F26" s="12"/>
      <c r="G26" s="12"/>
    </row>
    <row r="27" spans="2:7" ht="14.5" x14ac:dyDescent="0.35">
      <c r="B27" s="7"/>
      <c r="C27" s="7"/>
      <c r="D27" s="7"/>
      <c r="E27" s="12"/>
      <c r="F27" s="12"/>
      <c r="G27" s="12"/>
    </row>
    <row r="28" spans="2:7" ht="14.5" x14ac:dyDescent="0.35">
      <c r="B28" s="7"/>
      <c r="C28" s="7"/>
      <c r="D28" s="7"/>
      <c r="E28" s="12"/>
      <c r="F28" s="12"/>
      <c r="G28" s="12"/>
    </row>
    <row r="29" spans="2:7" ht="14.5" x14ac:dyDescent="0.35"/>
    <row r="30" spans="2:7" ht="14.5" x14ac:dyDescent="0.35"/>
    <row r="31" spans="2:7" ht="14.5" x14ac:dyDescent="0.35"/>
    <row r="32" spans="2:7" ht="14.5" x14ac:dyDescent="0.35"/>
    <row r="33" ht="14.5" x14ac:dyDescent="0.35"/>
    <row r="34" ht="14.5" x14ac:dyDescent="0.35"/>
    <row r="35" ht="14.5" x14ac:dyDescent="0.35"/>
    <row r="36" ht="14.5" x14ac:dyDescent="0.35"/>
    <row r="37" ht="14.5" x14ac:dyDescent="0.35"/>
    <row r="38" ht="14.5" x14ac:dyDescent="0.35"/>
    <row r="39" ht="14.5" x14ac:dyDescent="0.35"/>
    <row r="40" ht="14.5" x14ac:dyDescent="0.35"/>
    <row r="41" ht="14.5" x14ac:dyDescent="0.35"/>
    <row r="42" ht="14.5" x14ac:dyDescent="0.35"/>
    <row r="43" ht="14.5" x14ac:dyDescent="0.35"/>
    <row r="44" ht="14.5" x14ac:dyDescent="0.35"/>
    <row r="45" ht="14.5" x14ac:dyDescent="0.35"/>
    <row r="46" ht="14.5" x14ac:dyDescent="0.35"/>
    <row r="47" ht="14.5" x14ac:dyDescent="0.35"/>
    <row r="48" ht="14.5" x14ac:dyDescent="0.35"/>
    <row r="49" ht="14.5" x14ac:dyDescent="0.35"/>
    <row r="50" ht="14.5" x14ac:dyDescent="0.35"/>
    <row r="51" ht="14.5" x14ac:dyDescent="0.35"/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  <row r="187" ht="14.5" x14ac:dyDescent="0.35"/>
    <row r="188" ht="14.5" x14ac:dyDescent="0.35"/>
    <row r="189" ht="14.5" x14ac:dyDescent="0.35"/>
    <row r="190" ht="14.5" x14ac:dyDescent="0.35"/>
    <row r="191" ht="14.5" x14ac:dyDescent="0.35"/>
    <row r="192" ht="14.5" x14ac:dyDescent="0.35"/>
    <row r="193" ht="14.5" x14ac:dyDescent="0.35"/>
    <row r="194" ht="14.5" x14ac:dyDescent="0.35"/>
    <row r="195" ht="14.5" x14ac:dyDescent="0.35"/>
    <row r="196" ht="14.5" x14ac:dyDescent="0.35"/>
    <row r="197" ht="14.5" x14ac:dyDescent="0.35"/>
    <row r="198" ht="14.5" x14ac:dyDescent="0.35"/>
    <row r="199" ht="14.5" x14ac:dyDescent="0.35"/>
    <row r="200" ht="14.5" x14ac:dyDescent="0.35"/>
    <row r="201" ht="14.5" x14ac:dyDescent="0.35"/>
    <row r="202" ht="14.5" x14ac:dyDescent="0.35"/>
    <row r="203" ht="14.5" x14ac:dyDescent="0.35"/>
    <row r="204" ht="14.5" x14ac:dyDescent="0.35"/>
    <row r="205" ht="14.5" x14ac:dyDescent="0.35"/>
    <row r="206" ht="14.5" x14ac:dyDescent="0.35"/>
    <row r="207" ht="14.5" x14ac:dyDescent="0.35"/>
    <row r="208" ht="14.5" x14ac:dyDescent="0.35"/>
    <row r="209" ht="14.5" x14ac:dyDescent="0.35"/>
    <row r="210" ht="14.5" x14ac:dyDescent="0.35"/>
    <row r="211" ht="14.5" x14ac:dyDescent="0.35"/>
    <row r="212" ht="14.5" x14ac:dyDescent="0.35"/>
    <row r="213" ht="14.5" x14ac:dyDescent="0.35"/>
    <row r="214" ht="14.5" x14ac:dyDescent="0.35"/>
    <row r="215" ht="14.5" x14ac:dyDescent="0.35"/>
    <row r="216" ht="14.5" x14ac:dyDescent="0.35"/>
    <row r="217" ht="14.5" x14ac:dyDescent="0.35"/>
    <row r="218" ht="14.5" x14ac:dyDescent="0.35"/>
    <row r="219" ht="14.5" x14ac:dyDescent="0.35"/>
    <row r="220" ht="14.5" x14ac:dyDescent="0.35"/>
    <row r="221" ht="14.5" x14ac:dyDescent="0.35"/>
    <row r="222" ht="14.5" x14ac:dyDescent="0.35"/>
    <row r="223" ht="14.5" x14ac:dyDescent="0.35"/>
    <row r="224" ht="14.5" x14ac:dyDescent="0.35"/>
    <row r="225" ht="14.5" x14ac:dyDescent="0.35"/>
    <row r="226" ht="14.5" x14ac:dyDescent="0.35"/>
    <row r="227" ht="14.5" x14ac:dyDescent="0.35"/>
    <row r="228" ht="14.5" x14ac:dyDescent="0.35"/>
    <row r="229" ht="14.5" x14ac:dyDescent="0.35"/>
    <row r="230" ht="14.5" x14ac:dyDescent="0.35"/>
    <row r="231" ht="14.5" x14ac:dyDescent="0.35"/>
    <row r="232" ht="14.5" x14ac:dyDescent="0.35"/>
    <row r="233" ht="14.5" x14ac:dyDescent="0.35"/>
    <row r="234" ht="14.5" x14ac:dyDescent="0.35"/>
    <row r="235" ht="14.5" x14ac:dyDescent="0.35"/>
    <row r="236" ht="14.5" x14ac:dyDescent="0.35"/>
    <row r="237" ht="14.5" x14ac:dyDescent="0.35"/>
    <row r="238" ht="14.5" x14ac:dyDescent="0.35"/>
    <row r="239" ht="14.5" x14ac:dyDescent="0.35"/>
    <row r="240" ht="14.5" x14ac:dyDescent="0.35"/>
    <row r="241" ht="14.5" x14ac:dyDescent="0.35"/>
    <row r="242" ht="14.5" x14ac:dyDescent="0.35"/>
    <row r="243" ht="14.5" x14ac:dyDescent="0.35"/>
    <row r="244" ht="14.5" x14ac:dyDescent="0.35"/>
    <row r="245" ht="14.5" x14ac:dyDescent="0.35"/>
    <row r="246" ht="14.5" x14ac:dyDescent="0.35"/>
    <row r="247" ht="14.5" x14ac:dyDescent="0.35"/>
    <row r="248" ht="14.5" x14ac:dyDescent="0.35"/>
    <row r="249" ht="14.5" x14ac:dyDescent="0.35"/>
    <row r="250" ht="14.5" x14ac:dyDescent="0.35"/>
    <row r="251" ht="14.5" x14ac:dyDescent="0.35"/>
    <row r="252" ht="14.5" x14ac:dyDescent="0.35"/>
    <row r="253" ht="14.5" x14ac:dyDescent="0.35"/>
    <row r="254" ht="14.5" x14ac:dyDescent="0.35"/>
    <row r="255" ht="14.5" x14ac:dyDescent="0.35"/>
    <row r="256" ht="14.5" x14ac:dyDescent="0.35"/>
    <row r="257" ht="14.5" x14ac:dyDescent="0.35"/>
    <row r="258" ht="14.5" x14ac:dyDescent="0.35"/>
    <row r="259" ht="14.5" x14ac:dyDescent="0.35"/>
    <row r="260" ht="14.5" x14ac:dyDescent="0.35"/>
    <row r="261" ht="14.5" x14ac:dyDescent="0.35"/>
    <row r="262" ht="14.5" x14ac:dyDescent="0.35"/>
    <row r="263" ht="14.5" x14ac:dyDescent="0.35"/>
    <row r="264" ht="14.5" x14ac:dyDescent="0.35"/>
    <row r="265" ht="14.5" x14ac:dyDescent="0.35"/>
    <row r="266" ht="14.5" x14ac:dyDescent="0.35"/>
    <row r="267" ht="14.5" x14ac:dyDescent="0.35"/>
    <row r="268" ht="14.5" x14ac:dyDescent="0.35"/>
    <row r="269" ht="14.5" x14ac:dyDescent="0.35"/>
    <row r="270" ht="14.5" x14ac:dyDescent="0.35"/>
    <row r="271" ht="14.5" x14ac:dyDescent="0.35"/>
    <row r="272" ht="14.5" x14ac:dyDescent="0.35"/>
    <row r="273" ht="14.5" x14ac:dyDescent="0.35"/>
    <row r="274" ht="14.5" x14ac:dyDescent="0.35"/>
    <row r="275" ht="14.5" x14ac:dyDescent="0.35"/>
    <row r="276" ht="14.5" x14ac:dyDescent="0.35"/>
    <row r="277" ht="14.5" x14ac:dyDescent="0.35"/>
    <row r="278" ht="14.5" x14ac:dyDescent="0.35"/>
    <row r="279" ht="14.5" x14ac:dyDescent="0.35"/>
    <row r="280" ht="14.5" x14ac:dyDescent="0.35"/>
    <row r="281" ht="14.5" x14ac:dyDescent="0.35"/>
    <row r="282" ht="14.5" x14ac:dyDescent="0.35"/>
    <row r="283" ht="14.5" x14ac:dyDescent="0.35"/>
    <row r="284" ht="14.5" x14ac:dyDescent="0.35"/>
    <row r="285" ht="14.5" x14ac:dyDescent="0.35"/>
    <row r="286" ht="14.5" x14ac:dyDescent="0.35"/>
    <row r="287" ht="14.5" x14ac:dyDescent="0.35"/>
    <row r="288" ht="14.5" x14ac:dyDescent="0.35"/>
    <row r="289" ht="14.5" x14ac:dyDescent="0.35"/>
    <row r="290" ht="14.5" x14ac:dyDescent="0.35"/>
    <row r="291" ht="14.5" x14ac:dyDescent="0.35"/>
    <row r="292" ht="14.5" x14ac:dyDescent="0.35"/>
    <row r="293" ht="14.5" x14ac:dyDescent="0.35"/>
    <row r="294" ht="14.5" x14ac:dyDescent="0.35"/>
    <row r="295" ht="14.5" x14ac:dyDescent="0.35"/>
    <row r="296" ht="14.5" x14ac:dyDescent="0.35"/>
    <row r="297" ht="14.5" x14ac:dyDescent="0.35"/>
    <row r="298" ht="14.5" x14ac:dyDescent="0.35"/>
    <row r="299" ht="14.5" x14ac:dyDescent="0.35"/>
    <row r="300" ht="14.5" x14ac:dyDescent="0.35"/>
    <row r="301" ht="14.5" x14ac:dyDescent="0.35"/>
    <row r="302" ht="14.5" x14ac:dyDescent="0.35"/>
    <row r="303" ht="14.5" x14ac:dyDescent="0.35"/>
    <row r="304" ht="14.5" x14ac:dyDescent="0.35"/>
    <row r="305" ht="14.5" x14ac:dyDescent="0.35"/>
    <row r="306" ht="14.5" x14ac:dyDescent="0.35"/>
    <row r="307" ht="14.5" x14ac:dyDescent="0.35"/>
    <row r="308" ht="14.5" x14ac:dyDescent="0.35"/>
    <row r="309" ht="14.5" x14ac:dyDescent="0.35"/>
    <row r="310" ht="14.5" x14ac:dyDescent="0.35"/>
    <row r="311" ht="14.5" x14ac:dyDescent="0.35"/>
    <row r="312" ht="14.5" x14ac:dyDescent="0.35"/>
    <row r="313" ht="14.5" x14ac:dyDescent="0.35"/>
    <row r="314" ht="14.5" x14ac:dyDescent="0.35"/>
    <row r="315" ht="14.5" x14ac:dyDescent="0.35"/>
    <row r="316" ht="14.5" x14ac:dyDescent="0.35"/>
    <row r="317" ht="14.5" x14ac:dyDescent="0.35"/>
    <row r="318" ht="14.5" x14ac:dyDescent="0.35"/>
    <row r="319" ht="14.5" x14ac:dyDescent="0.35"/>
    <row r="320" ht="14.5" x14ac:dyDescent="0.35"/>
    <row r="321" ht="14.5" x14ac:dyDescent="0.35"/>
    <row r="322" ht="14.5" x14ac:dyDescent="0.35"/>
    <row r="323" ht="14.5" x14ac:dyDescent="0.35"/>
    <row r="324" ht="14.5" x14ac:dyDescent="0.35"/>
    <row r="325" ht="14.5" x14ac:dyDescent="0.35"/>
    <row r="326" ht="14.5" x14ac:dyDescent="0.35"/>
    <row r="327" ht="14.5" x14ac:dyDescent="0.35"/>
    <row r="328" ht="14.5" x14ac:dyDescent="0.35"/>
    <row r="329" ht="14.5" x14ac:dyDescent="0.35"/>
    <row r="330" ht="14.5" x14ac:dyDescent="0.35"/>
    <row r="331" ht="14.5" x14ac:dyDescent="0.35"/>
    <row r="332" ht="14.5" x14ac:dyDescent="0.35"/>
    <row r="333" ht="14.5" x14ac:dyDescent="0.35"/>
    <row r="334" ht="14.5" x14ac:dyDescent="0.35"/>
    <row r="335" ht="14.5" x14ac:dyDescent="0.35"/>
    <row r="336" ht="14.5" x14ac:dyDescent="0.35"/>
    <row r="337" ht="14.5" x14ac:dyDescent="0.35"/>
    <row r="338" ht="14.5" x14ac:dyDescent="0.35"/>
    <row r="339" ht="14.5" x14ac:dyDescent="0.35"/>
    <row r="340" ht="14.5" x14ac:dyDescent="0.35"/>
    <row r="341" ht="14.5" x14ac:dyDescent="0.35"/>
    <row r="342" ht="14.5" x14ac:dyDescent="0.35"/>
    <row r="343" ht="14.5" x14ac:dyDescent="0.35"/>
    <row r="344" ht="14.5" x14ac:dyDescent="0.35"/>
    <row r="345" ht="14.5" x14ac:dyDescent="0.35"/>
    <row r="346" ht="14.5" x14ac:dyDescent="0.35"/>
    <row r="347" ht="14.5" x14ac:dyDescent="0.35"/>
    <row r="348" ht="14.5" x14ac:dyDescent="0.35"/>
    <row r="349" ht="14.5" x14ac:dyDescent="0.35"/>
    <row r="350" ht="14.5" x14ac:dyDescent="0.35"/>
    <row r="351" ht="14.5" x14ac:dyDescent="0.35"/>
    <row r="352" ht="14.5" x14ac:dyDescent="0.35"/>
    <row r="353" ht="14.5" x14ac:dyDescent="0.35"/>
    <row r="354" ht="14.5" x14ac:dyDescent="0.35"/>
    <row r="355" ht="14.5" x14ac:dyDescent="0.35"/>
    <row r="356" ht="14.5" x14ac:dyDescent="0.35"/>
    <row r="357" ht="14.5" x14ac:dyDescent="0.35"/>
    <row r="358" ht="14.5" x14ac:dyDescent="0.35"/>
    <row r="359" ht="14.5" x14ac:dyDescent="0.35"/>
    <row r="360" ht="14.5" x14ac:dyDescent="0.35"/>
    <row r="361" ht="14.5" x14ac:dyDescent="0.35"/>
    <row r="362" ht="14.5" x14ac:dyDescent="0.35"/>
    <row r="363" ht="14.5" x14ac:dyDescent="0.35"/>
    <row r="364" ht="14.5" x14ac:dyDescent="0.35"/>
    <row r="365" ht="14.5" x14ac:dyDescent="0.35"/>
    <row r="366" ht="14.5" x14ac:dyDescent="0.35"/>
    <row r="367" ht="14.5" x14ac:dyDescent="0.35"/>
    <row r="368" ht="14.5" x14ac:dyDescent="0.35"/>
    <row r="369" ht="14.5" x14ac:dyDescent="0.35"/>
    <row r="370" ht="14.5" x14ac:dyDescent="0.35"/>
    <row r="371" ht="14.5" x14ac:dyDescent="0.35"/>
    <row r="372" ht="14.5" x14ac:dyDescent="0.35"/>
    <row r="373" ht="14.5" x14ac:dyDescent="0.35"/>
    <row r="374" ht="14.5" x14ac:dyDescent="0.35"/>
    <row r="375" ht="14.5" x14ac:dyDescent="0.35"/>
    <row r="376" ht="14.5" x14ac:dyDescent="0.35"/>
    <row r="377" ht="14.5" x14ac:dyDescent="0.35"/>
    <row r="378" ht="14.5" x14ac:dyDescent="0.35"/>
    <row r="379" ht="14.5" x14ac:dyDescent="0.35"/>
    <row r="380" ht="14.5" x14ac:dyDescent="0.35"/>
    <row r="381" ht="14.5" x14ac:dyDescent="0.35"/>
    <row r="382" ht="14.5" x14ac:dyDescent="0.35"/>
    <row r="383" ht="14.5" x14ac:dyDescent="0.35"/>
    <row r="384" ht="14.5" x14ac:dyDescent="0.35"/>
    <row r="385" ht="14.5" x14ac:dyDescent="0.35"/>
    <row r="386" ht="14.5" x14ac:dyDescent="0.35"/>
    <row r="387" ht="14.5" x14ac:dyDescent="0.35"/>
    <row r="388" ht="14.5" x14ac:dyDescent="0.35"/>
    <row r="389" ht="14.5" x14ac:dyDescent="0.35"/>
    <row r="390" ht="14.5" x14ac:dyDescent="0.35"/>
    <row r="391" ht="14.5" x14ac:dyDescent="0.35"/>
    <row r="392" ht="14.5" x14ac:dyDescent="0.35"/>
    <row r="393" ht="14.5" x14ac:dyDescent="0.35"/>
    <row r="394" ht="14.5" x14ac:dyDescent="0.35"/>
    <row r="395" ht="14.5" x14ac:dyDescent="0.35"/>
    <row r="396" ht="14.5" x14ac:dyDescent="0.35"/>
    <row r="397" ht="14.5" x14ac:dyDescent="0.35"/>
    <row r="398" ht="14.5" x14ac:dyDescent="0.35"/>
    <row r="399" ht="14.5" x14ac:dyDescent="0.35"/>
    <row r="400" ht="14.5" x14ac:dyDescent="0.35"/>
    <row r="401" ht="14.5" x14ac:dyDescent="0.35"/>
    <row r="402" ht="14.5" x14ac:dyDescent="0.35"/>
    <row r="403" ht="14.5" x14ac:dyDescent="0.35"/>
    <row r="404" ht="14.5" x14ac:dyDescent="0.35"/>
    <row r="405" ht="14.5" x14ac:dyDescent="0.35"/>
    <row r="406" ht="14.5" x14ac:dyDescent="0.35"/>
    <row r="407" ht="14.5" x14ac:dyDescent="0.35"/>
    <row r="408" ht="14.5" x14ac:dyDescent="0.35"/>
    <row r="409" ht="14.5" x14ac:dyDescent="0.35"/>
    <row r="410" ht="14.5" x14ac:dyDescent="0.35"/>
    <row r="411" ht="14.5" x14ac:dyDescent="0.35"/>
    <row r="412" ht="14.5" x14ac:dyDescent="0.35"/>
    <row r="413" ht="14.5" x14ac:dyDescent="0.35"/>
    <row r="414" ht="14.5" x14ac:dyDescent="0.35"/>
    <row r="415" ht="14.5" x14ac:dyDescent="0.35"/>
    <row r="416" ht="14.5" x14ac:dyDescent="0.35"/>
    <row r="417" ht="14.5" x14ac:dyDescent="0.35"/>
    <row r="418" ht="14.5" x14ac:dyDescent="0.35"/>
    <row r="419" ht="14.5" x14ac:dyDescent="0.35"/>
    <row r="420" ht="14.5" x14ac:dyDescent="0.35"/>
    <row r="421" ht="14.5" x14ac:dyDescent="0.35"/>
    <row r="422" ht="14.5" x14ac:dyDescent="0.35"/>
    <row r="423" ht="14.5" x14ac:dyDescent="0.35"/>
    <row r="424" ht="14.5" x14ac:dyDescent="0.35"/>
    <row r="425" ht="14.5" x14ac:dyDescent="0.35"/>
    <row r="426" ht="14.5" x14ac:dyDescent="0.35"/>
    <row r="427" ht="14.5" x14ac:dyDescent="0.35"/>
    <row r="428" ht="14.5" x14ac:dyDescent="0.35"/>
    <row r="429" ht="14.5" x14ac:dyDescent="0.35"/>
    <row r="430" ht="14.5" x14ac:dyDescent="0.35"/>
    <row r="431" ht="14.5" x14ac:dyDescent="0.35"/>
    <row r="432" ht="14.5" x14ac:dyDescent="0.35"/>
    <row r="433" ht="14.5" x14ac:dyDescent="0.35"/>
    <row r="434" ht="14.5" x14ac:dyDescent="0.35"/>
    <row r="435" ht="14.5" x14ac:dyDescent="0.35"/>
    <row r="436" ht="14.5" x14ac:dyDescent="0.35"/>
    <row r="437" ht="14.5" x14ac:dyDescent="0.35"/>
    <row r="438" ht="14.5" x14ac:dyDescent="0.35"/>
    <row r="439" ht="14.5" x14ac:dyDescent="0.35"/>
    <row r="440" ht="14.5" x14ac:dyDescent="0.35"/>
    <row r="441" ht="14.5" x14ac:dyDescent="0.35"/>
    <row r="442" ht="14.5" x14ac:dyDescent="0.35"/>
    <row r="443" ht="14.5" x14ac:dyDescent="0.35"/>
    <row r="444" ht="14.5" x14ac:dyDescent="0.35"/>
    <row r="445" ht="14.5" x14ac:dyDescent="0.35"/>
    <row r="446" ht="14.5" x14ac:dyDescent="0.35"/>
    <row r="447" ht="14.5" x14ac:dyDescent="0.35"/>
    <row r="448" ht="14.5" x14ac:dyDescent="0.35"/>
    <row r="449" ht="14.5" x14ac:dyDescent="0.35"/>
    <row r="450" ht="14.5" x14ac:dyDescent="0.35"/>
    <row r="451" ht="14.5" x14ac:dyDescent="0.35"/>
    <row r="452" ht="14.5" x14ac:dyDescent="0.35"/>
    <row r="453" ht="14.5" x14ac:dyDescent="0.35"/>
    <row r="454" ht="14.5" x14ac:dyDescent="0.35"/>
    <row r="455" ht="14.5" x14ac:dyDescent="0.35"/>
    <row r="456" ht="14.5" x14ac:dyDescent="0.35"/>
    <row r="457" ht="14.5" x14ac:dyDescent="0.35"/>
    <row r="458" ht="14.5" x14ac:dyDescent="0.35"/>
    <row r="459" ht="14.5" x14ac:dyDescent="0.35"/>
    <row r="460" ht="14.5" x14ac:dyDescent="0.35"/>
    <row r="461" ht="14.5" x14ac:dyDescent="0.35"/>
    <row r="462" ht="14.5" x14ac:dyDescent="0.35"/>
    <row r="463" ht="14.5" x14ac:dyDescent="0.35"/>
    <row r="464" ht="14.5" x14ac:dyDescent="0.35"/>
    <row r="465" ht="14.5" x14ac:dyDescent="0.35"/>
    <row r="466" ht="14.5" x14ac:dyDescent="0.35"/>
    <row r="467" ht="14.5" x14ac:dyDescent="0.35"/>
    <row r="468" ht="14.5" x14ac:dyDescent="0.35"/>
    <row r="469" ht="14.5" x14ac:dyDescent="0.35"/>
    <row r="470" ht="14.5" x14ac:dyDescent="0.35"/>
    <row r="471" ht="14.5" x14ac:dyDescent="0.35"/>
    <row r="472" ht="14.5" x14ac:dyDescent="0.35"/>
    <row r="473" ht="14.5" x14ac:dyDescent="0.35"/>
    <row r="474" ht="14.5" x14ac:dyDescent="0.35"/>
    <row r="475" ht="14.5" x14ac:dyDescent="0.35"/>
    <row r="476" ht="14.5" x14ac:dyDescent="0.35"/>
    <row r="477" ht="14.5" x14ac:dyDescent="0.35"/>
    <row r="478" ht="14.5" x14ac:dyDescent="0.35"/>
    <row r="479" ht="14.5" x14ac:dyDescent="0.35"/>
    <row r="480" ht="14.5" x14ac:dyDescent="0.35"/>
    <row r="481" ht="14.5" x14ac:dyDescent="0.35"/>
    <row r="482" ht="14.5" x14ac:dyDescent="0.35"/>
    <row r="483" ht="14.5" x14ac:dyDescent="0.35"/>
    <row r="484" ht="14.5" x14ac:dyDescent="0.35"/>
    <row r="485" ht="14.5" x14ac:dyDescent="0.35"/>
    <row r="486" ht="14.5" x14ac:dyDescent="0.35"/>
    <row r="487" ht="14.5" x14ac:dyDescent="0.35"/>
    <row r="488" ht="14.5" x14ac:dyDescent="0.35"/>
    <row r="489" ht="14.5" x14ac:dyDescent="0.35"/>
    <row r="490" ht="14.5" x14ac:dyDescent="0.35"/>
    <row r="491" ht="14.5" x14ac:dyDescent="0.35"/>
    <row r="492" ht="14.5" x14ac:dyDescent="0.35"/>
    <row r="493" ht="14.5" x14ac:dyDescent="0.35"/>
    <row r="494" ht="14.5" x14ac:dyDescent="0.35"/>
    <row r="495" ht="14.5" x14ac:dyDescent="0.35"/>
    <row r="496" ht="14.5" x14ac:dyDescent="0.35"/>
    <row r="497" ht="14.5" x14ac:dyDescent="0.35"/>
    <row r="498" ht="14.5" x14ac:dyDescent="0.35"/>
    <row r="499" ht="14.5" x14ac:dyDescent="0.35"/>
    <row r="500" ht="14.5" x14ac:dyDescent="0.35"/>
    <row r="501" ht="14.5" x14ac:dyDescent="0.35"/>
    <row r="502" ht="14.5" x14ac:dyDescent="0.35"/>
    <row r="503" ht="14.5" x14ac:dyDescent="0.35"/>
    <row r="504" ht="14.5" x14ac:dyDescent="0.35"/>
    <row r="505" ht="14.5" x14ac:dyDescent="0.35"/>
    <row r="506" ht="14.5" x14ac:dyDescent="0.35"/>
    <row r="507" ht="14.5" x14ac:dyDescent="0.35"/>
    <row r="508" ht="14.5" x14ac:dyDescent="0.35"/>
    <row r="509" ht="14.5" x14ac:dyDescent="0.35"/>
    <row r="510" ht="14.5" x14ac:dyDescent="0.35"/>
    <row r="511" ht="14.5" x14ac:dyDescent="0.35"/>
    <row r="512" ht="14.5" x14ac:dyDescent="0.35"/>
    <row r="513" ht="14.5" x14ac:dyDescent="0.35"/>
    <row r="514" ht="14.5" x14ac:dyDescent="0.35"/>
    <row r="515" ht="14.5" x14ac:dyDescent="0.35"/>
    <row r="516" ht="14.5" x14ac:dyDescent="0.35"/>
    <row r="517" ht="14.5" x14ac:dyDescent="0.35"/>
    <row r="518" ht="14.5" x14ac:dyDescent="0.35"/>
    <row r="519" ht="14.5" x14ac:dyDescent="0.35"/>
    <row r="520" ht="14.5" x14ac:dyDescent="0.35"/>
    <row r="521" ht="14.5" x14ac:dyDescent="0.35"/>
    <row r="522" ht="14.5" x14ac:dyDescent="0.35"/>
    <row r="523" ht="14.5" x14ac:dyDescent="0.35"/>
    <row r="524" ht="14.5" x14ac:dyDescent="0.35"/>
    <row r="525" ht="14.5" x14ac:dyDescent="0.35"/>
    <row r="526" ht="14.5" x14ac:dyDescent="0.35"/>
    <row r="527" ht="14.5" x14ac:dyDescent="0.35"/>
    <row r="528" ht="14.5" x14ac:dyDescent="0.35"/>
    <row r="529" ht="14.5" x14ac:dyDescent="0.35"/>
    <row r="530" ht="14.5" x14ac:dyDescent="0.35"/>
    <row r="531" ht="14.5" x14ac:dyDescent="0.35"/>
    <row r="532" ht="14.5" x14ac:dyDescent="0.35"/>
    <row r="533" ht="14.5" x14ac:dyDescent="0.35"/>
    <row r="534" ht="14.5" x14ac:dyDescent="0.35"/>
    <row r="535" ht="14.5" x14ac:dyDescent="0.35"/>
    <row r="536" ht="14.5" x14ac:dyDescent="0.35"/>
    <row r="537" ht="14.5" x14ac:dyDescent="0.35"/>
    <row r="538" ht="14.5" x14ac:dyDescent="0.35"/>
    <row r="539" ht="14.5" x14ac:dyDescent="0.35"/>
    <row r="540" ht="14.5" x14ac:dyDescent="0.35"/>
    <row r="541" ht="14.5" x14ac:dyDescent="0.35"/>
    <row r="542" ht="14.5" x14ac:dyDescent="0.35"/>
    <row r="543" ht="14.5" x14ac:dyDescent="0.35"/>
    <row r="544" ht="14.5" x14ac:dyDescent="0.35"/>
    <row r="545" ht="14.5" x14ac:dyDescent="0.35"/>
    <row r="546" ht="14.5" x14ac:dyDescent="0.35"/>
    <row r="547" ht="14.5" x14ac:dyDescent="0.35"/>
    <row r="548" ht="14.5" x14ac:dyDescent="0.35"/>
    <row r="549" ht="14.5" x14ac:dyDescent="0.35"/>
    <row r="550" ht="14.5" x14ac:dyDescent="0.35"/>
    <row r="551" ht="14.5" x14ac:dyDescent="0.35"/>
    <row r="552" ht="14.5" x14ac:dyDescent="0.35"/>
    <row r="553" ht="14.5" x14ac:dyDescent="0.35"/>
    <row r="554" ht="14.5" x14ac:dyDescent="0.35"/>
    <row r="555" ht="14.5" x14ac:dyDescent="0.35"/>
    <row r="556" ht="14.5" x14ac:dyDescent="0.35"/>
    <row r="557" ht="14.5" x14ac:dyDescent="0.35"/>
    <row r="558" ht="14.5" x14ac:dyDescent="0.35"/>
    <row r="559" ht="14.5" x14ac:dyDescent="0.35"/>
    <row r="560" ht="14.5" x14ac:dyDescent="0.35"/>
    <row r="561" ht="14.5" x14ac:dyDescent="0.35"/>
    <row r="562" ht="14.5" x14ac:dyDescent="0.35"/>
    <row r="563" ht="14.5" x14ac:dyDescent="0.35"/>
    <row r="564" ht="14.5" x14ac:dyDescent="0.35"/>
    <row r="565" ht="14.5" x14ac:dyDescent="0.35"/>
    <row r="566" ht="14.5" x14ac:dyDescent="0.35"/>
    <row r="567" ht="14.5" x14ac:dyDescent="0.35"/>
    <row r="568" ht="14.5" x14ac:dyDescent="0.35"/>
    <row r="569" ht="14.5" x14ac:dyDescent="0.35"/>
    <row r="570" ht="14.5" x14ac:dyDescent="0.35"/>
    <row r="571" ht="14.5" x14ac:dyDescent="0.35"/>
    <row r="572" ht="14.5" x14ac:dyDescent="0.35"/>
    <row r="573" ht="14.5" x14ac:dyDescent="0.35"/>
    <row r="574" ht="14.5" x14ac:dyDescent="0.35"/>
    <row r="575" ht="14.5" x14ac:dyDescent="0.35"/>
    <row r="576" ht="14.5" x14ac:dyDescent="0.35"/>
    <row r="577" ht="14.5" x14ac:dyDescent="0.35"/>
    <row r="578" ht="14.5" x14ac:dyDescent="0.35"/>
    <row r="579" ht="14.5" x14ac:dyDescent="0.35"/>
    <row r="580" ht="14.5" x14ac:dyDescent="0.35"/>
    <row r="581" ht="14.5" x14ac:dyDescent="0.35"/>
    <row r="582" ht="14.5" x14ac:dyDescent="0.35"/>
    <row r="583" ht="14.5" x14ac:dyDescent="0.35"/>
    <row r="584" ht="14.5" x14ac:dyDescent="0.35"/>
    <row r="585" ht="14.5" x14ac:dyDescent="0.35"/>
    <row r="586" ht="14.5" x14ac:dyDescent="0.35"/>
    <row r="587" ht="14.5" x14ac:dyDescent="0.35"/>
    <row r="588" ht="14.5" x14ac:dyDescent="0.35"/>
    <row r="589" ht="14.5" x14ac:dyDescent="0.35"/>
    <row r="590" ht="14.5" x14ac:dyDescent="0.35"/>
    <row r="591" ht="14.5" x14ac:dyDescent="0.35"/>
    <row r="592" ht="14.5" x14ac:dyDescent="0.35"/>
    <row r="593" ht="14.5" x14ac:dyDescent="0.35"/>
    <row r="594" ht="14.5" x14ac:dyDescent="0.35"/>
    <row r="595" ht="14.5" x14ac:dyDescent="0.35"/>
    <row r="596" ht="14.5" x14ac:dyDescent="0.35"/>
    <row r="597" ht="14.5" x14ac:dyDescent="0.35"/>
    <row r="598" ht="14.5" x14ac:dyDescent="0.35"/>
    <row r="599" ht="14.5" x14ac:dyDescent="0.35"/>
    <row r="600" ht="14.5" x14ac:dyDescent="0.35"/>
    <row r="601" ht="14.5" x14ac:dyDescent="0.35"/>
    <row r="602" ht="14.5" x14ac:dyDescent="0.35"/>
    <row r="603" ht="14.5" x14ac:dyDescent="0.35"/>
    <row r="604" ht="14.5" x14ac:dyDescent="0.35"/>
    <row r="605" ht="14.5" x14ac:dyDescent="0.35"/>
    <row r="606" ht="14.5" x14ac:dyDescent="0.35"/>
    <row r="607" ht="14.5" x14ac:dyDescent="0.35"/>
    <row r="608" ht="14.5" x14ac:dyDescent="0.35"/>
    <row r="609" ht="14.5" x14ac:dyDescent="0.35"/>
    <row r="610" ht="14.5" x14ac:dyDescent="0.35"/>
    <row r="611" ht="14.5" x14ac:dyDescent="0.35"/>
    <row r="612" ht="14.5" x14ac:dyDescent="0.35"/>
    <row r="613" ht="14.5" x14ac:dyDescent="0.35"/>
    <row r="614" ht="14.5" x14ac:dyDescent="0.35"/>
    <row r="615" ht="14.5" x14ac:dyDescent="0.35"/>
    <row r="616" ht="14.5" x14ac:dyDescent="0.35"/>
    <row r="617" ht="14.5" x14ac:dyDescent="0.35"/>
    <row r="618" ht="14.5" x14ac:dyDescent="0.35"/>
    <row r="619" ht="14.5" x14ac:dyDescent="0.35"/>
    <row r="620" ht="14.5" x14ac:dyDescent="0.35"/>
    <row r="621" ht="14.5" x14ac:dyDescent="0.35"/>
    <row r="622" ht="14.5" x14ac:dyDescent="0.35"/>
    <row r="623" ht="14.5" x14ac:dyDescent="0.35"/>
    <row r="624" ht="14.5" x14ac:dyDescent="0.35"/>
    <row r="625" ht="14.5" x14ac:dyDescent="0.35"/>
    <row r="626" ht="14.5" x14ac:dyDescent="0.35"/>
    <row r="627" ht="14.5" x14ac:dyDescent="0.35"/>
    <row r="628" ht="14.5" x14ac:dyDescent="0.35"/>
    <row r="629" ht="14.5" x14ac:dyDescent="0.35"/>
    <row r="630" ht="14.5" x14ac:dyDescent="0.35"/>
    <row r="631" ht="14.5" x14ac:dyDescent="0.35"/>
    <row r="632" ht="14.5" x14ac:dyDescent="0.35"/>
    <row r="633" ht="14.5" x14ac:dyDescent="0.35"/>
    <row r="634" ht="14.5" x14ac:dyDescent="0.35"/>
    <row r="635" ht="14.5" x14ac:dyDescent="0.35"/>
    <row r="636" ht="14.5" x14ac:dyDescent="0.35"/>
    <row r="637" ht="14.5" x14ac:dyDescent="0.35"/>
    <row r="638" ht="14.5" x14ac:dyDescent="0.35"/>
    <row r="639" ht="14.5" x14ac:dyDescent="0.35"/>
    <row r="640" ht="14.5" x14ac:dyDescent="0.35"/>
    <row r="641" ht="14.5" x14ac:dyDescent="0.35"/>
    <row r="642" ht="14.5" x14ac:dyDescent="0.35"/>
    <row r="643" ht="14.5" x14ac:dyDescent="0.35"/>
    <row r="644" ht="14.5" x14ac:dyDescent="0.35"/>
    <row r="645" ht="14.5" x14ac:dyDescent="0.35"/>
    <row r="646" ht="14.5" x14ac:dyDescent="0.35"/>
    <row r="647" ht="14.5" x14ac:dyDescent="0.35"/>
    <row r="648" ht="14.5" x14ac:dyDescent="0.35"/>
    <row r="649" ht="14.5" x14ac:dyDescent="0.35"/>
    <row r="650" ht="14.5" x14ac:dyDescent="0.35"/>
    <row r="651" ht="14.5" x14ac:dyDescent="0.35"/>
    <row r="652" ht="14.5" x14ac:dyDescent="0.35"/>
    <row r="653" ht="14.5" x14ac:dyDescent="0.35"/>
    <row r="654" ht="14.5" x14ac:dyDescent="0.35"/>
    <row r="655" ht="14.5" x14ac:dyDescent="0.35"/>
    <row r="656" ht="14.5" x14ac:dyDescent="0.35"/>
    <row r="657" ht="14.5" x14ac:dyDescent="0.35"/>
    <row r="658" ht="14.5" x14ac:dyDescent="0.35"/>
    <row r="659" ht="14.5" x14ac:dyDescent="0.35"/>
    <row r="660" ht="14.5" x14ac:dyDescent="0.35"/>
    <row r="661" ht="14.5" x14ac:dyDescent="0.35"/>
    <row r="662" ht="14.5" x14ac:dyDescent="0.35"/>
    <row r="663" ht="14.5" x14ac:dyDescent="0.35"/>
    <row r="664" ht="14.5" x14ac:dyDescent="0.35"/>
    <row r="665" ht="14.5" x14ac:dyDescent="0.35"/>
    <row r="666" ht="14.5" x14ac:dyDescent="0.35"/>
    <row r="667" ht="14.5" x14ac:dyDescent="0.35"/>
    <row r="668" ht="14.5" x14ac:dyDescent="0.35"/>
    <row r="669" ht="14.5" x14ac:dyDescent="0.35"/>
    <row r="670" ht="14.5" x14ac:dyDescent="0.35"/>
    <row r="671" ht="14.5" x14ac:dyDescent="0.35"/>
    <row r="672" ht="14.5" x14ac:dyDescent="0.35"/>
    <row r="673" ht="14.5" x14ac:dyDescent="0.35"/>
    <row r="674" ht="14.5" x14ac:dyDescent="0.35"/>
    <row r="675" ht="14.5" x14ac:dyDescent="0.35"/>
    <row r="676" ht="14.5" x14ac:dyDescent="0.35"/>
    <row r="677" ht="14.5" x14ac:dyDescent="0.35"/>
    <row r="678" ht="14.5" x14ac:dyDescent="0.35"/>
    <row r="679" ht="14.5" x14ac:dyDescent="0.35"/>
    <row r="680" ht="14.5" x14ac:dyDescent="0.35"/>
    <row r="681" ht="14.5" x14ac:dyDescent="0.35"/>
    <row r="682" ht="14.5" x14ac:dyDescent="0.35"/>
    <row r="683" ht="14.5" x14ac:dyDescent="0.35"/>
    <row r="684" ht="14.5" x14ac:dyDescent="0.35"/>
    <row r="685" ht="14.5" x14ac:dyDescent="0.35"/>
    <row r="686" ht="14.5" x14ac:dyDescent="0.35"/>
    <row r="687" ht="14.5" x14ac:dyDescent="0.35"/>
    <row r="688" ht="14.5" x14ac:dyDescent="0.35"/>
    <row r="689" ht="14.5" x14ac:dyDescent="0.35"/>
    <row r="690" ht="14.5" x14ac:dyDescent="0.35"/>
    <row r="691" ht="14.5" x14ac:dyDescent="0.35"/>
    <row r="692" ht="14.5" x14ac:dyDescent="0.35"/>
    <row r="693" ht="14.5" x14ac:dyDescent="0.35"/>
    <row r="694" ht="14.5" x14ac:dyDescent="0.35"/>
    <row r="695" ht="14.5" x14ac:dyDescent="0.35"/>
    <row r="696" ht="14.5" x14ac:dyDescent="0.35"/>
    <row r="697" ht="14.5" x14ac:dyDescent="0.35"/>
    <row r="698" ht="14.5" x14ac:dyDescent="0.35"/>
    <row r="699" ht="14.5" x14ac:dyDescent="0.35"/>
    <row r="700" ht="14.5" x14ac:dyDescent="0.35"/>
    <row r="701" ht="14.5" x14ac:dyDescent="0.35"/>
    <row r="702" ht="14.5" x14ac:dyDescent="0.35"/>
    <row r="703" ht="14.5" x14ac:dyDescent="0.35"/>
    <row r="704" ht="14.5" x14ac:dyDescent="0.35"/>
    <row r="705" ht="14.5" x14ac:dyDescent="0.35"/>
    <row r="706" ht="14.5" x14ac:dyDescent="0.35"/>
    <row r="707" ht="14.5" x14ac:dyDescent="0.35"/>
    <row r="708" ht="14.5" x14ac:dyDescent="0.35"/>
    <row r="709" ht="14.5" x14ac:dyDescent="0.35"/>
    <row r="710" ht="14.5" x14ac:dyDescent="0.35"/>
    <row r="711" ht="14.5" x14ac:dyDescent="0.35"/>
    <row r="712" ht="14.5" x14ac:dyDescent="0.35"/>
    <row r="713" ht="14.5" x14ac:dyDescent="0.35"/>
    <row r="714" ht="14.5" x14ac:dyDescent="0.35"/>
    <row r="715" ht="14.5" x14ac:dyDescent="0.35"/>
    <row r="716" ht="14.5" x14ac:dyDescent="0.35"/>
    <row r="717" ht="14.5" x14ac:dyDescent="0.35"/>
    <row r="718" ht="14.5" x14ac:dyDescent="0.35"/>
    <row r="719" ht="14.5" x14ac:dyDescent="0.35"/>
    <row r="720" ht="14.5" x14ac:dyDescent="0.35"/>
    <row r="721" ht="14.5" x14ac:dyDescent="0.35"/>
    <row r="722" ht="14.5" x14ac:dyDescent="0.35"/>
    <row r="723" ht="14.5" x14ac:dyDescent="0.35"/>
    <row r="724" ht="14.5" x14ac:dyDescent="0.35"/>
    <row r="725" ht="14.5" x14ac:dyDescent="0.35"/>
    <row r="726" ht="14.5" x14ac:dyDescent="0.35"/>
    <row r="727" ht="14.5" x14ac:dyDescent="0.35"/>
    <row r="728" ht="14.5" x14ac:dyDescent="0.35"/>
    <row r="729" ht="14.5" x14ac:dyDescent="0.35"/>
    <row r="730" ht="14.5" x14ac:dyDescent="0.35"/>
    <row r="731" ht="14.5" x14ac:dyDescent="0.35"/>
    <row r="732" ht="14.5" x14ac:dyDescent="0.35"/>
    <row r="733" ht="14.5" x14ac:dyDescent="0.35"/>
    <row r="734" ht="14.5" x14ac:dyDescent="0.35"/>
    <row r="735" ht="14.5" x14ac:dyDescent="0.35"/>
    <row r="736" ht="14.5" x14ac:dyDescent="0.35"/>
    <row r="737" ht="14.5" x14ac:dyDescent="0.35"/>
    <row r="738" ht="14.5" x14ac:dyDescent="0.35"/>
    <row r="739" ht="14.5" x14ac:dyDescent="0.35"/>
    <row r="740" ht="14.5" x14ac:dyDescent="0.35"/>
    <row r="741" ht="14.5" x14ac:dyDescent="0.35"/>
    <row r="742" ht="14.5" x14ac:dyDescent="0.35"/>
    <row r="743" ht="14.5" x14ac:dyDescent="0.35"/>
    <row r="744" ht="14.5" x14ac:dyDescent="0.35"/>
    <row r="745" ht="14.5" x14ac:dyDescent="0.35"/>
    <row r="746" ht="14.5" x14ac:dyDescent="0.35"/>
    <row r="747" ht="14.5" x14ac:dyDescent="0.35"/>
    <row r="748" ht="14.5" x14ac:dyDescent="0.35"/>
    <row r="749" ht="14.5" x14ac:dyDescent="0.35"/>
    <row r="750" ht="14.5" x14ac:dyDescent="0.35"/>
    <row r="751" ht="14.5" x14ac:dyDescent="0.35"/>
    <row r="752" ht="14.5" x14ac:dyDescent="0.35"/>
    <row r="753" ht="14.5" x14ac:dyDescent="0.35"/>
    <row r="754" ht="14.5" x14ac:dyDescent="0.35"/>
    <row r="755" ht="14.5" x14ac:dyDescent="0.35"/>
    <row r="756" ht="14.5" x14ac:dyDescent="0.35"/>
    <row r="757" ht="14.5" x14ac:dyDescent="0.35"/>
    <row r="758" ht="14.5" x14ac:dyDescent="0.35"/>
    <row r="759" ht="14.5" x14ac:dyDescent="0.35"/>
    <row r="760" ht="14.5" x14ac:dyDescent="0.35"/>
    <row r="761" ht="14.5" x14ac:dyDescent="0.35"/>
    <row r="762" ht="14.5" x14ac:dyDescent="0.35"/>
    <row r="763" ht="14.5" x14ac:dyDescent="0.35"/>
    <row r="764" ht="14.5" x14ac:dyDescent="0.35"/>
    <row r="765" ht="14.5" x14ac:dyDescent="0.35"/>
    <row r="766" ht="14.5" x14ac:dyDescent="0.35"/>
    <row r="767" ht="14.5" x14ac:dyDescent="0.35"/>
    <row r="768" ht="14.5" x14ac:dyDescent="0.35"/>
    <row r="769" ht="14.5" x14ac:dyDescent="0.35"/>
    <row r="770" ht="14.5" x14ac:dyDescent="0.35"/>
    <row r="771" ht="14.5" x14ac:dyDescent="0.35"/>
    <row r="772" ht="14.5" x14ac:dyDescent="0.35"/>
    <row r="773" ht="14.5" x14ac:dyDescent="0.35"/>
    <row r="774" ht="14.5" x14ac:dyDescent="0.35"/>
    <row r="775" ht="14.5" x14ac:dyDescent="0.35"/>
    <row r="776" ht="14.5" x14ac:dyDescent="0.35"/>
    <row r="777" ht="14.5" x14ac:dyDescent="0.35"/>
    <row r="778" ht="14.5" x14ac:dyDescent="0.35"/>
    <row r="779" ht="14.5" x14ac:dyDescent="0.35"/>
    <row r="780" ht="14.5" x14ac:dyDescent="0.35"/>
    <row r="781" ht="14.5" x14ac:dyDescent="0.35"/>
    <row r="782" ht="14.5" x14ac:dyDescent="0.35"/>
    <row r="783" ht="14.5" x14ac:dyDescent="0.35"/>
    <row r="784" ht="14.5" x14ac:dyDescent="0.35"/>
    <row r="785" ht="14.5" x14ac:dyDescent="0.35"/>
    <row r="786" ht="14.5" x14ac:dyDescent="0.35"/>
    <row r="787" ht="14.5" x14ac:dyDescent="0.35"/>
    <row r="788" ht="14.5" x14ac:dyDescent="0.35"/>
    <row r="789" ht="14.5" x14ac:dyDescent="0.35"/>
    <row r="790" ht="14.5" x14ac:dyDescent="0.35"/>
    <row r="791" ht="14.5" x14ac:dyDescent="0.35"/>
    <row r="792" ht="14.5" x14ac:dyDescent="0.35"/>
    <row r="793" ht="14.5" x14ac:dyDescent="0.35"/>
    <row r="794" ht="14.5" x14ac:dyDescent="0.35"/>
    <row r="795" ht="14.5" x14ac:dyDescent="0.35"/>
    <row r="796" ht="14.5" x14ac:dyDescent="0.35"/>
    <row r="797" ht="14.5" x14ac:dyDescent="0.35"/>
    <row r="798" ht="14.5" x14ac:dyDescent="0.35"/>
    <row r="799" ht="14.5" x14ac:dyDescent="0.35"/>
    <row r="800" ht="14.5" x14ac:dyDescent="0.35"/>
    <row r="801" ht="14.5" x14ac:dyDescent="0.35"/>
    <row r="802" ht="14.5" x14ac:dyDescent="0.35"/>
    <row r="803" ht="14.5" x14ac:dyDescent="0.35"/>
    <row r="804" ht="14.5" x14ac:dyDescent="0.35"/>
    <row r="805" ht="14.5" x14ac:dyDescent="0.35"/>
    <row r="806" ht="14.5" x14ac:dyDescent="0.35"/>
    <row r="807" ht="14.5" x14ac:dyDescent="0.35"/>
    <row r="808" ht="14.5" x14ac:dyDescent="0.35"/>
    <row r="809" ht="14.5" x14ac:dyDescent="0.35"/>
    <row r="810" ht="14.5" x14ac:dyDescent="0.35"/>
    <row r="811" ht="14.5" x14ac:dyDescent="0.35"/>
    <row r="812" ht="14.5" x14ac:dyDescent="0.35"/>
    <row r="813" ht="14.5" x14ac:dyDescent="0.35"/>
    <row r="814" ht="14.5" x14ac:dyDescent="0.35"/>
    <row r="815" ht="14.5" x14ac:dyDescent="0.35"/>
    <row r="816" ht="14.5" x14ac:dyDescent="0.35"/>
    <row r="817" ht="14.5" x14ac:dyDescent="0.35"/>
    <row r="818" ht="14.5" x14ac:dyDescent="0.35"/>
    <row r="819" ht="14.5" x14ac:dyDescent="0.35"/>
    <row r="820" ht="14.5" x14ac:dyDescent="0.35"/>
    <row r="821" ht="14.5" x14ac:dyDescent="0.35"/>
    <row r="822" ht="14.5" x14ac:dyDescent="0.35"/>
    <row r="823" ht="14.5" x14ac:dyDescent="0.35"/>
    <row r="824" ht="14.5" x14ac:dyDescent="0.35"/>
    <row r="825" ht="14.5" x14ac:dyDescent="0.35"/>
    <row r="826" ht="14.5" x14ac:dyDescent="0.35"/>
    <row r="827" ht="14.5" x14ac:dyDescent="0.35"/>
    <row r="828" ht="14.5" x14ac:dyDescent="0.35"/>
    <row r="829" ht="14.5" x14ac:dyDescent="0.35"/>
    <row r="830" ht="14.5" x14ac:dyDescent="0.35"/>
    <row r="831" ht="14.5" x14ac:dyDescent="0.35"/>
    <row r="832" ht="14.5" x14ac:dyDescent="0.35"/>
    <row r="833" ht="14.5" x14ac:dyDescent="0.35"/>
    <row r="834" ht="14.5" x14ac:dyDescent="0.35"/>
    <row r="835" ht="14.5" x14ac:dyDescent="0.35"/>
    <row r="836" ht="14.5" x14ac:dyDescent="0.35"/>
    <row r="837" ht="14.5" x14ac:dyDescent="0.35"/>
    <row r="838" ht="14.5" x14ac:dyDescent="0.35"/>
    <row r="839" ht="14.5" x14ac:dyDescent="0.35"/>
    <row r="840" ht="14.5" x14ac:dyDescent="0.35"/>
    <row r="841" ht="14.5" x14ac:dyDescent="0.35"/>
    <row r="842" ht="14.5" x14ac:dyDescent="0.35"/>
    <row r="843" ht="14.5" x14ac:dyDescent="0.35"/>
    <row r="844" ht="14.5" x14ac:dyDescent="0.35"/>
    <row r="845" ht="14.5" x14ac:dyDescent="0.35"/>
    <row r="846" ht="14.5" x14ac:dyDescent="0.35"/>
    <row r="847" ht="14.5" x14ac:dyDescent="0.35"/>
    <row r="848" ht="14.5" x14ac:dyDescent="0.35"/>
    <row r="849" ht="14.5" x14ac:dyDescent="0.35"/>
    <row r="850" ht="14.5" x14ac:dyDescent="0.35"/>
    <row r="851" ht="14.5" x14ac:dyDescent="0.35"/>
    <row r="852" ht="14.5" x14ac:dyDescent="0.35"/>
    <row r="853" ht="14.5" x14ac:dyDescent="0.35"/>
    <row r="854" ht="14.5" x14ac:dyDescent="0.35"/>
    <row r="855" ht="14.5" x14ac:dyDescent="0.35"/>
    <row r="856" ht="14.5" x14ac:dyDescent="0.35"/>
    <row r="857" ht="14.5" x14ac:dyDescent="0.35"/>
    <row r="858" ht="14.5" x14ac:dyDescent="0.35"/>
    <row r="859" ht="14.5" x14ac:dyDescent="0.35"/>
    <row r="860" ht="14.5" x14ac:dyDescent="0.35"/>
    <row r="861" ht="14.5" x14ac:dyDescent="0.35"/>
    <row r="862" ht="14.5" x14ac:dyDescent="0.35"/>
    <row r="863" ht="14.5" x14ac:dyDescent="0.35"/>
    <row r="864" ht="14.5" x14ac:dyDescent="0.35"/>
    <row r="865" ht="14.5" x14ac:dyDescent="0.35"/>
    <row r="866" ht="14.5" x14ac:dyDescent="0.35"/>
    <row r="867" ht="14.5" x14ac:dyDescent="0.35"/>
    <row r="868" ht="14.5" x14ac:dyDescent="0.35"/>
    <row r="869" ht="14.5" x14ac:dyDescent="0.35"/>
    <row r="870" ht="14.5" x14ac:dyDescent="0.35"/>
    <row r="871" ht="14.5" x14ac:dyDescent="0.35"/>
    <row r="872" ht="14.5" x14ac:dyDescent="0.35"/>
    <row r="873" ht="14.5" x14ac:dyDescent="0.35"/>
    <row r="874" ht="14.5" x14ac:dyDescent="0.35"/>
    <row r="875" ht="14.5" x14ac:dyDescent="0.35"/>
    <row r="876" ht="14.5" x14ac:dyDescent="0.35"/>
    <row r="877" ht="14.5" x14ac:dyDescent="0.35"/>
    <row r="878" ht="14.5" x14ac:dyDescent="0.35"/>
    <row r="879" ht="14.5" x14ac:dyDescent="0.35"/>
    <row r="880" ht="14.5" x14ac:dyDescent="0.35"/>
    <row r="881" ht="14.5" x14ac:dyDescent="0.35"/>
    <row r="882" ht="14.5" x14ac:dyDescent="0.35"/>
    <row r="883" ht="14.5" x14ac:dyDescent="0.35"/>
    <row r="884" ht="14.5" x14ac:dyDescent="0.35"/>
    <row r="885" ht="14.5" x14ac:dyDescent="0.35"/>
    <row r="886" ht="14.5" x14ac:dyDescent="0.35"/>
    <row r="887" ht="14.5" x14ac:dyDescent="0.35"/>
    <row r="888" ht="14.5" x14ac:dyDescent="0.35"/>
    <row r="889" ht="14.5" x14ac:dyDescent="0.35"/>
    <row r="890" ht="14.5" x14ac:dyDescent="0.35"/>
    <row r="891" ht="14.5" x14ac:dyDescent="0.35"/>
    <row r="892" ht="14.5" x14ac:dyDescent="0.35"/>
    <row r="893" ht="14.5" x14ac:dyDescent="0.35"/>
    <row r="894" ht="14.5" x14ac:dyDescent="0.35"/>
    <row r="895" ht="14.5" x14ac:dyDescent="0.35"/>
    <row r="896" ht="14.5" x14ac:dyDescent="0.35"/>
    <row r="897" ht="14.5" x14ac:dyDescent="0.35"/>
    <row r="898" ht="14.5" x14ac:dyDescent="0.35"/>
    <row r="899" ht="14.5" x14ac:dyDescent="0.35"/>
    <row r="900" ht="14.5" x14ac:dyDescent="0.35"/>
    <row r="901" ht="14.5" x14ac:dyDescent="0.35"/>
    <row r="902" ht="14.5" x14ac:dyDescent="0.35"/>
    <row r="903" ht="14.5" x14ac:dyDescent="0.35"/>
    <row r="904" ht="14.5" x14ac:dyDescent="0.35"/>
    <row r="905" ht="14.5" x14ac:dyDescent="0.35"/>
    <row r="906" ht="14.5" x14ac:dyDescent="0.35"/>
    <row r="907" ht="14.5" x14ac:dyDescent="0.35"/>
    <row r="908" ht="14.5" x14ac:dyDescent="0.35"/>
    <row r="909" ht="14.5" x14ac:dyDescent="0.35"/>
    <row r="910" ht="14.5" x14ac:dyDescent="0.35"/>
    <row r="911" ht="14.5" x14ac:dyDescent="0.35"/>
    <row r="912" ht="14.5" x14ac:dyDescent="0.35"/>
    <row r="913" ht="14.5" x14ac:dyDescent="0.35"/>
    <row r="914" ht="14.5" x14ac:dyDescent="0.35"/>
    <row r="915" ht="14.5" x14ac:dyDescent="0.35"/>
    <row r="916" ht="14.5" x14ac:dyDescent="0.35"/>
    <row r="917" ht="14.5" x14ac:dyDescent="0.35"/>
    <row r="918" ht="14.5" x14ac:dyDescent="0.35"/>
    <row r="919" ht="14.5" x14ac:dyDescent="0.35"/>
    <row r="920" ht="14.5" x14ac:dyDescent="0.35"/>
    <row r="921" ht="14.5" x14ac:dyDescent="0.35"/>
    <row r="922" ht="14.5" x14ac:dyDescent="0.35"/>
    <row r="923" ht="14.5" x14ac:dyDescent="0.35"/>
    <row r="924" ht="14.5" x14ac:dyDescent="0.35"/>
    <row r="925" ht="14.5" x14ac:dyDescent="0.35"/>
    <row r="926" ht="14.5" x14ac:dyDescent="0.35"/>
    <row r="927" ht="14.5" x14ac:dyDescent="0.35"/>
    <row r="928" ht="14.5" x14ac:dyDescent="0.35"/>
    <row r="929" ht="14.5" x14ac:dyDescent="0.35"/>
    <row r="930" ht="14.5" x14ac:dyDescent="0.35"/>
    <row r="931" ht="14.5" x14ac:dyDescent="0.35"/>
    <row r="932" ht="14.5" x14ac:dyDescent="0.35"/>
    <row r="933" ht="14.5" x14ac:dyDescent="0.35"/>
    <row r="934" ht="14.5" x14ac:dyDescent="0.35"/>
    <row r="935" ht="14.5" x14ac:dyDescent="0.35"/>
    <row r="936" ht="14.5" x14ac:dyDescent="0.35"/>
    <row r="937" ht="14.5" x14ac:dyDescent="0.35"/>
    <row r="938" ht="14.5" x14ac:dyDescent="0.35"/>
    <row r="939" ht="14.5" x14ac:dyDescent="0.35"/>
    <row r="940" ht="14.5" x14ac:dyDescent="0.35"/>
    <row r="941" ht="14.5" x14ac:dyDescent="0.35"/>
    <row r="942" ht="14.5" x14ac:dyDescent="0.35"/>
    <row r="943" ht="14.5" x14ac:dyDescent="0.35"/>
    <row r="944" ht="14.5" x14ac:dyDescent="0.35"/>
    <row r="945" ht="14.5" x14ac:dyDescent="0.35"/>
    <row r="946" ht="14.5" x14ac:dyDescent="0.35"/>
    <row r="947" ht="14.5" x14ac:dyDescent="0.35"/>
    <row r="948" ht="14.5" x14ac:dyDescent="0.35"/>
    <row r="949" ht="14.5" x14ac:dyDescent="0.35"/>
    <row r="950" ht="14.5" x14ac:dyDescent="0.35"/>
    <row r="951" ht="14.5" x14ac:dyDescent="0.35"/>
    <row r="952" ht="14.5" x14ac:dyDescent="0.35"/>
    <row r="953" ht="14.5" x14ac:dyDescent="0.35"/>
    <row r="954" ht="14.5" x14ac:dyDescent="0.35"/>
    <row r="955" ht="14.5" x14ac:dyDescent="0.35"/>
    <row r="956" ht="14.5" x14ac:dyDescent="0.35"/>
    <row r="957" ht="14.5" x14ac:dyDescent="0.35"/>
    <row r="958" ht="14.5" x14ac:dyDescent="0.35"/>
    <row r="959" ht="14.5" x14ac:dyDescent="0.35"/>
    <row r="960" ht="14.5" x14ac:dyDescent="0.35"/>
    <row r="961" ht="14.5" x14ac:dyDescent="0.35"/>
    <row r="962" ht="14.5" x14ac:dyDescent="0.35"/>
    <row r="963" ht="14.5" x14ac:dyDescent="0.35"/>
    <row r="964" ht="14.5" x14ac:dyDescent="0.35"/>
    <row r="965" ht="14.5" x14ac:dyDescent="0.35"/>
    <row r="966" ht="14.5" x14ac:dyDescent="0.35"/>
    <row r="967" ht="14.5" x14ac:dyDescent="0.35"/>
    <row r="968" ht="14.5" x14ac:dyDescent="0.35"/>
    <row r="969" ht="14.5" x14ac:dyDescent="0.35"/>
    <row r="970" ht="14.5" x14ac:dyDescent="0.35"/>
    <row r="971" ht="14.5" x14ac:dyDescent="0.35"/>
    <row r="972" ht="14.5" x14ac:dyDescent="0.35"/>
    <row r="973" ht="14.5" x14ac:dyDescent="0.35"/>
    <row r="974" ht="14.5" x14ac:dyDescent="0.35"/>
    <row r="975" ht="14.5" x14ac:dyDescent="0.35"/>
    <row r="976" ht="14.5" x14ac:dyDescent="0.35"/>
    <row r="977" ht="14.5" x14ac:dyDescent="0.35"/>
    <row r="978" ht="14.5" x14ac:dyDescent="0.35"/>
    <row r="979" ht="14.5" x14ac:dyDescent="0.35"/>
    <row r="980" ht="14.5" x14ac:dyDescent="0.35"/>
    <row r="981" ht="14.5" x14ac:dyDescent="0.35"/>
    <row r="982" ht="14.5" x14ac:dyDescent="0.35"/>
    <row r="983" ht="14.5" x14ac:dyDescent="0.35"/>
    <row r="984" ht="14.5" x14ac:dyDescent="0.35"/>
    <row r="985" ht="14.5" x14ac:dyDescent="0.35"/>
    <row r="986" ht="14.5" x14ac:dyDescent="0.35"/>
    <row r="987" ht="14.5" x14ac:dyDescent="0.35"/>
    <row r="988" ht="14.5" x14ac:dyDescent="0.35"/>
    <row r="989" ht="14.5" x14ac:dyDescent="0.35"/>
    <row r="990" ht="14.5" x14ac:dyDescent="0.35"/>
    <row r="991" ht="14.5" x14ac:dyDescent="0.35"/>
    <row r="992" ht="14.5" x14ac:dyDescent="0.35"/>
    <row r="993" ht="14.5" x14ac:dyDescent="0.35"/>
    <row r="994" ht="14.5" x14ac:dyDescent="0.35"/>
    <row r="995" ht="14.5" x14ac:dyDescent="0.35"/>
    <row r="996" ht="14.5" x14ac:dyDescent="0.35"/>
    <row r="997" ht="14.5" x14ac:dyDescent="0.35"/>
    <row r="998" ht="14.5" x14ac:dyDescent="0.35"/>
    <row r="999" ht="14.5" x14ac:dyDescent="0.35"/>
    <row r="1000" ht="14.5" x14ac:dyDescent="0.35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00000000-0002-0000-0100-000000000000}">
          <x14:formula1>
            <xm:f>'controlled vocabulary'!$A$4:$A$10</xm:f>
          </x14:formula1>
          <xm:sqref>E4:E1048576</xm:sqref>
        </x14:dataValidation>
        <x14:dataValidation type="list" allowBlank="1" showInputMessage="1" showErrorMessage="1" xr:uid="{00000000-0002-0000-0100-000001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1503"/>
  <sheetViews>
    <sheetView showZeros="0" zoomScale="134" workbookViewId="0">
      <selection activeCell="E9" sqref="E9"/>
    </sheetView>
  </sheetViews>
  <sheetFormatPr defaultColWidth="15.1796875" defaultRowHeight="15" customHeight="1" x14ac:dyDescent="0.35"/>
  <cols>
    <col min="1" max="1" width="14.6328125" style="3" customWidth="1"/>
    <col min="2" max="2" width="14.6328125" style="9" bestFit="1" customWidth="1"/>
    <col min="3" max="3" width="14.36328125" style="9" bestFit="1" customWidth="1"/>
    <col min="4" max="4" width="17" style="9" customWidth="1"/>
    <col min="5" max="5" width="14.36328125" style="9" customWidth="1"/>
    <col min="6" max="8" width="13.1796875" style="3" customWidth="1"/>
    <col min="9" max="9" width="18.6328125" style="3" bestFit="1" customWidth="1"/>
    <col min="10" max="10" width="13.453125" style="3" customWidth="1"/>
    <col min="11" max="11" width="16.6328125" style="3" customWidth="1"/>
    <col min="12" max="12" width="21.36328125" style="3" bestFit="1" customWidth="1"/>
    <col min="13" max="13" width="15.6328125" style="3" customWidth="1"/>
    <col min="14" max="14" width="24" style="3" customWidth="1"/>
    <col min="15" max="15" width="12.6328125" style="3" bestFit="1" customWidth="1"/>
    <col min="16" max="16" width="11.453125" style="3" bestFit="1" customWidth="1"/>
    <col min="17" max="17" width="11.6328125" style="3" bestFit="1" customWidth="1"/>
    <col min="18" max="18" width="18.6328125" style="3" bestFit="1" customWidth="1"/>
    <col min="19" max="19" width="13.81640625" style="3" customWidth="1"/>
    <col min="20" max="20" width="19.453125" style="3" customWidth="1"/>
    <col min="21" max="21" width="12.6328125" style="3" customWidth="1"/>
    <col min="22" max="22" width="13.81640625" style="3" customWidth="1"/>
    <col min="23" max="23" width="13.453125" style="3" bestFit="1" customWidth="1"/>
    <col min="24" max="24" width="14.453125" style="3" bestFit="1" customWidth="1"/>
    <col min="25" max="25" width="10.36328125" style="3" bestFit="1" customWidth="1"/>
    <col min="26" max="27" width="10.36328125" style="3" customWidth="1"/>
    <col min="28" max="28" width="11" style="3" bestFit="1" customWidth="1"/>
    <col min="29" max="29" width="14.1796875" style="3" bestFit="1" customWidth="1"/>
    <col min="30" max="30" width="14.1796875" style="3" customWidth="1"/>
    <col min="31" max="31" width="14.6328125" style="3" customWidth="1"/>
    <col min="32" max="32" width="14.6328125" style="9" customWidth="1"/>
    <col min="33" max="33" width="15.1796875" style="3"/>
    <col min="34" max="34" width="18.81640625" style="3" customWidth="1"/>
    <col min="35" max="35" width="20.1796875" style="3" customWidth="1"/>
    <col min="36" max="36" width="15.1796875" style="3"/>
    <col min="37" max="37" width="21.6328125" style="3" customWidth="1"/>
    <col min="38" max="38" width="12.453125" style="3" customWidth="1"/>
    <col min="39" max="39" width="15.1796875" style="3" customWidth="1"/>
    <col min="40" max="40" width="17.6328125" style="3" customWidth="1"/>
    <col min="41" max="43" width="15.1796875" style="3" customWidth="1"/>
    <col min="44" max="46" width="15.1796875" style="3"/>
    <col min="47" max="47" width="18.81640625" style="3" customWidth="1"/>
    <col min="48" max="16384" width="15.1796875" style="3"/>
  </cols>
  <sheetData>
    <row r="1" spans="1:52" s="21" customFormat="1" ht="28.5" customHeight="1" x14ac:dyDescent="0.35">
      <c r="A1" s="60" t="s">
        <v>637</v>
      </c>
      <c r="B1" s="60" t="s">
        <v>14</v>
      </c>
      <c r="C1" s="20" t="s">
        <v>593</v>
      </c>
      <c r="D1" s="60" t="s">
        <v>427</v>
      </c>
      <c r="E1" s="25" t="s">
        <v>426</v>
      </c>
      <c r="F1" s="25" t="s">
        <v>428</v>
      </c>
      <c r="G1" s="25" t="s">
        <v>429</v>
      </c>
      <c r="H1" s="25" t="s">
        <v>783</v>
      </c>
      <c r="I1" s="60" t="s">
        <v>430</v>
      </c>
      <c r="J1" s="25" t="s">
        <v>431</v>
      </c>
      <c r="K1" s="25" t="s">
        <v>432</v>
      </c>
      <c r="L1" s="25" t="s">
        <v>433</v>
      </c>
      <c r="M1" s="25" t="s">
        <v>434</v>
      </c>
      <c r="N1" s="25" t="s">
        <v>435</v>
      </c>
      <c r="O1" s="25" t="s">
        <v>913</v>
      </c>
      <c r="P1" s="25" t="s">
        <v>787</v>
      </c>
      <c r="Q1" s="25" t="s">
        <v>437</v>
      </c>
      <c r="R1" s="25" t="s">
        <v>436</v>
      </c>
      <c r="S1" s="25" t="s">
        <v>642</v>
      </c>
      <c r="T1" s="20" t="s">
        <v>827</v>
      </c>
      <c r="U1" s="25" t="s">
        <v>438</v>
      </c>
      <c r="V1" s="25" t="s">
        <v>828</v>
      </c>
      <c r="W1" s="25" t="s">
        <v>439</v>
      </c>
      <c r="X1" s="25" t="s">
        <v>440</v>
      </c>
      <c r="Y1" s="20" t="s">
        <v>441</v>
      </c>
      <c r="Z1" s="20" t="s">
        <v>847</v>
      </c>
      <c r="AA1" s="20" t="s">
        <v>848</v>
      </c>
      <c r="AB1" s="20" t="s">
        <v>849</v>
      </c>
      <c r="AC1" s="25" t="s">
        <v>442</v>
      </c>
      <c r="AD1" s="25" t="s">
        <v>821</v>
      </c>
      <c r="AE1" s="25" t="s">
        <v>443</v>
      </c>
      <c r="AF1" s="20" t="s">
        <v>820</v>
      </c>
      <c r="AG1" s="20" t="s">
        <v>444</v>
      </c>
      <c r="AH1" s="25" t="s">
        <v>445</v>
      </c>
      <c r="AI1" s="20" t="s">
        <v>446</v>
      </c>
      <c r="AJ1" s="20" t="s">
        <v>447</v>
      </c>
      <c r="AK1" s="20" t="s">
        <v>448</v>
      </c>
      <c r="AL1" s="25" t="s">
        <v>449</v>
      </c>
      <c r="AM1" s="25" t="s">
        <v>450</v>
      </c>
      <c r="AN1" s="25" t="s">
        <v>451</v>
      </c>
      <c r="AO1" s="25" t="s">
        <v>452</v>
      </c>
      <c r="AP1" s="20" t="s">
        <v>453</v>
      </c>
      <c r="AQ1" s="20" t="s">
        <v>454</v>
      </c>
      <c r="AR1" s="25" t="s">
        <v>455</v>
      </c>
      <c r="AS1" s="25" t="s">
        <v>456</v>
      </c>
      <c r="AT1" s="25" t="s">
        <v>457</v>
      </c>
      <c r="AU1" s="25" t="s">
        <v>870</v>
      </c>
      <c r="AV1" s="20" t="s">
        <v>871</v>
      </c>
      <c r="AW1" s="20" t="s">
        <v>872</v>
      </c>
      <c r="AX1" s="25" t="s">
        <v>873</v>
      </c>
      <c r="AY1" s="25" t="s">
        <v>874</v>
      </c>
      <c r="AZ1" s="25" t="s">
        <v>875</v>
      </c>
    </row>
    <row r="2" spans="1:52" s="21" customFormat="1" ht="76.5" customHeight="1" x14ac:dyDescent="0.35">
      <c r="A2" s="30" t="s">
        <v>638</v>
      </c>
      <c r="B2" s="64" t="s">
        <v>16</v>
      </c>
      <c r="C2" s="64" t="s">
        <v>340</v>
      </c>
      <c r="D2" s="64" t="s">
        <v>298</v>
      </c>
      <c r="E2" s="30" t="s">
        <v>46</v>
      </c>
      <c r="F2" s="64" t="s">
        <v>17</v>
      </c>
      <c r="G2" s="64" t="s">
        <v>18</v>
      </c>
      <c r="H2" s="64" t="s">
        <v>21</v>
      </c>
      <c r="I2" s="29" t="s">
        <v>293</v>
      </c>
      <c r="J2" s="30" t="s">
        <v>339</v>
      </c>
      <c r="K2" s="30" t="s">
        <v>338</v>
      </c>
      <c r="L2" s="29" t="s">
        <v>290</v>
      </c>
      <c r="M2" s="30" t="s">
        <v>276</v>
      </c>
      <c r="N2" s="30" t="s">
        <v>277</v>
      </c>
      <c r="O2" s="30" t="s">
        <v>914</v>
      </c>
      <c r="P2" s="30" t="s">
        <v>788</v>
      </c>
      <c r="Q2" s="30" t="s">
        <v>643</v>
      </c>
      <c r="R2" s="30" t="s">
        <v>791</v>
      </c>
      <c r="S2" s="30" t="s">
        <v>790</v>
      </c>
      <c r="T2" s="64" t="s">
        <v>841</v>
      </c>
      <c r="U2" s="30" t="s">
        <v>337</v>
      </c>
      <c r="V2" s="30" t="s">
        <v>842</v>
      </c>
      <c r="W2" s="30" t="s">
        <v>335</v>
      </c>
      <c r="X2" s="29" t="s">
        <v>289</v>
      </c>
      <c r="Y2" s="30" t="s">
        <v>30</v>
      </c>
      <c r="Z2" s="30" t="s">
        <v>858</v>
      </c>
      <c r="AA2" s="30" t="s">
        <v>859</v>
      </c>
      <c r="AB2" s="30" t="s">
        <v>860</v>
      </c>
      <c r="AC2" s="30" t="s">
        <v>47</v>
      </c>
      <c r="AD2" s="30" t="s">
        <v>822</v>
      </c>
      <c r="AE2" s="30" t="s">
        <v>49</v>
      </c>
      <c r="AF2" s="30" t="s">
        <v>843</v>
      </c>
      <c r="AG2" s="30" t="s">
        <v>27</v>
      </c>
      <c r="AH2" s="30" t="s">
        <v>50</v>
      </c>
      <c r="AI2" s="30" t="s">
        <v>28</v>
      </c>
      <c r="AJ2" s="30" t="s">
        <v>29</v>
      </c>
      <c r="AK2" s="30" t="s">
        <v>334</v>
      </c>
      <c r="AL2" s="30" t="s">
        <v>48</v>
      </c>
      <c r="AM2" s="30" t="s">
        <v>23</v>
      </c>
      <c r="AN2" s="30" t="s">
        <v>22</v>
      </c>
      <c r="AO2" s="30" t="s">
        <v>24</v>
      </c>
      <c r="AP2" s="30" t="s">
        <v>25</v>
      </c>
      <c r="AQ2" s="30" t="s">
        <v>26</v>
      </c>
      <c r="AR2" s="30" t="s">
        <v>51</v>
      </c>
      <c r="AS2" s="30" t="s">
        <v>52</v>
      </c>
      <c r="AT2" s="30" t="s">
        <v>53</v>
      </c>
      <c r="AU2" s="30" t="s">
        <v>876</v>
      </c>
      <c r="AV2" s="30" t="s">
        <v>877</v>
      </c>
      <c r="AW2" s="30" t="s">
        <v>878</v>
      </c>
      <c r="AX2" s="30" t="s">
        <v>879</v>
      </c>
      <c r="AY2" s="30" t="s">
        <v>881</v>
      </c>
      <c r="AZ2" s="30" t="s">
        <v>882</v>
      </c>
    </row>
    <row r="3" spans="1:52" s="33" customFormat="1" ht="27" customHeight="1" x14ac:dyDescent="0.35">
      <c r="A3" s="31" t="s">
        <v>331</v>
      </c>
      <c r="B3" s="66"/>
      <c r="C3" s="66"/>
      <c r="D3" s="66"/>
      <c r="E3" s="31" t="s">
        <v>296</v>
      </c>
      <c r="F3" s="66" t="s">
        <v>31</v>
      </c>
      <c r="G3" s="66" t="s">
        <v>31</v>
      </c>
      <c r="H3" s="66" t="s">
        <v>33</v>
      </c>
      <c r="I3" s="31" t="s">
        <v>341</v>
      </c>
      <c r="J3" s="31"/>
      <c r="K3" s="31" t="s">
        <v>342</v>
      </c>
      <c r="L3" s="31" t="s">
        <v>343</v>
      </c>
      <c r="M3" s="31" t="s">
        <v>287</v>
      </c>
      <c r="N3" s="32" t="s">
        <v>34</v>
      </c>
      <c r="O3" s="31" t="s">
        <v>342</v>
      </c>
      <c r="P3" s="31" t="s">
        <v>789</v>
      </c>
      <c r="Q3" s="31"/>
      <c r="R3" s="31"/>
      <c r="S3" s="31" t="s">
        <v>767</v>
      </c>
      <c r="T3" s="66"/>
      <c r="U3" s="31" t="s">
        <v>336</v>
      </c>
      <c r="V3" s="31"/>
      <c r="W3" s="31" t="s">
        <v>287</v>
      </c>
      <c r="X3" s="32" t="s">
        <v>37</v>
      </c>
      <c r="Y3" s="31" t="s">
        <v>44</v>
      </c>
      <c r="Z3" s="31" t="s">
        <v>861</v>
      </c>
      <c r="AA3" s="31" t="s">
        <v>862</v>
      </c>
      <c r="AB3" s="31" t="s">
        <v>863</v>
      </c>
      <c r="AC3" s="31" t="s">
        <v>43</v>
      </c>
      <c r="AD3" s="31" t="s">
        <v>823</v>
      </c>
      <c r="AE3" s="31" t="s">
        <v>40</v>
      </c>
      <c r="AF3" s="31"/>
      <c r="AG3" s="31" t="s">
        <v>40</v>
      </c>
      <c r="AH3" s="31" t="s">
        <v>40</v>
      </c>
      <c r="AI3" s="31" t="s">
        <v>41</v>
      </c>
      <c r="AJ3" s="31" t="s">
        <v>42</v>
      </c>
      <c r="AK3" s="31" t="s">
        <v>259</v>
      </c>
      <c r="AL3" s="31" t="s">
        <v>54</v>
      </c>
      <c r="AM3" s="31" t="s">
        <v>36</v>
      </c>
      <c r="AN3" s="31" t="s">
        <v>35</v>
      </c>
      <c r="AO3" s="31" t="s">
        <v>37</v>
      </c>
      <c r="AP3" s="31" t="s">
        <v>38</v>
      </c>
      <c r="AQ3" s="31" t="s">
        <v>39</v>
      </c>
      <c r="AR3" s="31" t="s">
        <v>45</v>
      </c>
      <c r="AS3" s="31" t="s">
        <v>45</v>
      </c>
      <c r="AT3" s="31" t="s">
        <v>40</v>
      </c>
      <c r="AU3" s="31" t="s">
        <v>880</v>
      </c>
      <c r="AV3" s="31" t="s">
        <v>342</v>
      </c>
      <c r="AW3" s="31" t="s">
        <v>342</v>
      </c>
      <c r="AX3" s="31" t="s">
        <v>37</v>
      </c>
      <c r="AY3" s="31"/>
      <c r="AZ3" s="31"/>
    </row>
    <row r="4" spans="1:52" ht="14.5" x14ac:dyDescent="0.35">
      <c r="A4" s="3" t="s">
        <v>989</v>
      </c>
      <c r="B4" s="7" t="s">
        <v>998</v>
      </c>
      <c r="C4" s="7"/>
      <c r="D4" s="7" t="s">
        <v>1001</v>
      </c>
      <c r="E4" s="12" t="s">
        <v>1013</v>
      </c>
      <c r="F4" s="12">
        <v>34.610149999999997</v>
      </c>
      <c r="G4" s="12">
        <v>-81.726990000000001</v>
      </c>
      <c r="H4" s="12"/>
      <c r="I4" s="12" t="s">
        <v>292</v>
      </c>
      <c r="J4" s="12"/>
      <c r="K4" s="12"/>
      <c r="L4" s="12"/>
      <c r="M4" s="12">
        <v>17</v>
      </c>
      <c r="N4" s="12">
        <v>1170</v>
      </c>
      <c r="O4" s="12"/>
      <c r="P4" s="12" t="s">
        <v>802</v>
      </c>
      <c r="Q4" s="12"/>
      <c r="R4" s="12" t="s">
        <v>1014</v>
      </c>
      <c r="S4" s="12" t="s">
        <v>645</v>
      </c>
      <c r="T4" s="12"/>
      <c r="U4" s="12"/>
      <c r="V4" s="12"/>
      <c r="W4" s="12"/>
      <c r="X4" s="7"/>
      <c r="Y4" s="3" t="s">
        <v>177</v>
      </c>
      <c r="AC4" s="12" t="s">
        <v>1017</v>
      </c>
      <c r="AD4" s="12"/>
      <c r="AE4" s="12"/>
      <c r="AF4" s="7"/>
      <c r="AI4" s="3" t="s">
        <v>199</v>
      </c>
      <c r="AJ4" s="3" t="s">
        <v>180</v>
      </c>
      <c r="AK4" s="177" t="s">
        <v>1018</v>
      </c>
      <c r="AL4" s="12"/>
      <c r="AM4" s="12"/>
      <c r="AN4" s="12"/>
      <c r="AO4" s="12"/>
      <c r="AP4" s="12"/>
    </row>
    <row r="5" spans="1:52" ht="14.5" x14ac:dyDescent="0.35">
      <c r="A5" s="3" t="s">
        <v>989</v>
      </c>
      <c r="B5" s="7" t="s">
        <v>998</v>
      </c>
      <c r="C5" s="7"/>
      <c r="D5" s="7" t="s">
        <v>1002</v>
      </c>
      <c r="E5" s="12" t="s">
        <v>1013</v>
      </c>
      <c r="F5" s="12">
        <v>34.611469999999997</v>
      </c>
      <c r="G5" s="12">
        <v>-81.727860000000007</v>
      </c>
      <c r="H5" s="12"/>
      <c r="I5" s="12" t="s">
        <v>292</v>
      </c>
      <c r="J5" s="12"/>
      <c r="K5" s="12"/>
      <c r="L5" s="12"/>
      <c r="M5" s="12">
        <v>17</v>
      </c>
      <c r="N5" s="12">
        <v>1170</v>
      </c>
      <c r="O5" s="12"/>
      <c r="P5" s="12" t="s">
        <v>802</v>
      </c>
      <c r="Q5" s="12"/>
      <c r="R5" s="12" t="s">
        <v>1014</v>
      </c>
      <c r="S5" s="12" t="s">
        <v>645</v>
      </c>
      <c r="T5" s="12"/>
      <c r="U5" s="12"/>
      <c r="V5" s="12"/>
      <c r="W5" s="12"/>
      <c r="X5" s="7"/>
      <c r="Y5" s="3" t="s">
        <v>177</v>
      </c>
      <c r="AC5" s="12" t="s">
        <v>1017</v>
      </c>
      <c r="AD5" s="12"/>
      <c r="AE5" s="12"/>
      <c r="AF5" s="7"/>
      <c r="AI5" s="3" t="s">
        <v>199</v>
      </c>
      <c r="AJ5" s="3" t="s">
        <v>180</v>
      </c>
      <c r="AK5" s="177" t="s">
        <v>1018</v>
      </c>
      <c r="AL5" s="12"/>
      <c r="AM5" s="12"/>
      <c r="AN5" s="12"/>
      <c r="AO5" s="12"/>
      <c r="AP5" s="12"/>
    </row>
    <row r="6" spans="1:52" ht="14.5" x14ac:dyDescent="0.35">
      <c r="A6" s="3" t="s">
        <v>989</v>
      </c>
      <c r="B6" s="7" t="s">
        <v>998</v>
      </c>
      <c r="C6" s="7"/>
      <c r="D6" s="7" t="s">
        <v>1003</v>
      </c>
      <c r="E6" s="12" t="s">
        <v>1013</v>
      </c>
      <c r="F6" s="12">
        <v>34.609250000000003</v>
      </c>
      <c r="G6" s="12">
        <v>-81.728039999999993</v>
      </c>
      <c r="H6" s="12"/>
      <c r="I6" s="12" t="s">
        <v>292</v>
      </c>
      <c r="J6" s="12"/>
      <c r="K6" s="12"/>
      <c r="L6" s="12"/>
      <c r="M6" s="12">
        <v>17</v>
      </c>
      <c r="N6" s="12">
        <v>1170</v>
      </c>
      <c r="O6" s="12"/>
      <c r="P6" s="12" t="s">
        <v>802</v>
      </c>
      <c r="Q6" s="12"/>
      <c r="R6" s="12" t="s">
        <v>1014</v>
      </c>
      <c r="S6" s="12" t="s">
        <v>645</v>
      </c>
      <c r="T6" s="12"/>
      <c r="U6" s="12"/>
      <c r="V6" s="12"/>
      <c r="W6" s="12"/>
      <c r="X6" s="7"/>
      <c r="Y6" s="3" t="s">
        <v>177</v>
      </c>
      <c r="AC6" s="12" t="s">
        <v>1017</v>
      </c>
      <c r="AD6" s="12"/>
      <c r="AE6" s="12"/>
      <c r="AF6" s="7"/>
      <c r="AI6" s="3" t="s">
        <v>199</v>
      </c>
      <c r="AJ6" s="3" t="s">
        <v>180</v>
      </c>
      <c r="AK6" s="177" t="s">
        <v>1018</v>
      </c>
      <c r="AL6" s="12"/>
      <c r="AM6" s="12"/>
      <c r="AN6" s="12"/>
      <c r="AO6" s="12"/>
      <c r="AP6" s="12"/>
    </row>
    <row r="7" spans="1:52" ht="14.5" x14ac:dyDescent="0.35">
      <c r="A7" s="3" t="s">
        <v>989</v>
      </c>
      <c r="B7" s="7" t="s">
        <v>998</v>
      </c>
      <c r="C7" s="7"/>
      <c r="D7" s="7" t="s">
        <v>1000</v>
      </c>
      <c r="E7" s="12" t="s">
        <v>1013</v>
      </c>
      <c r="F7" s="3">
        <v>34.60642</v>
      </c>
      <c r="G7" s="12">
        <v>-81.723320000000001</v>
      </c>
      <c r="H7" s="12"/>
      <c r="I7" s="12" t="s">
        <v>292</v>
      </c>
      <c r="J7" s="12"/>
      <c r="K7" s="12"/>
      <c r="L7" s="12"/>
      <c r="M7" s="12">
        <v>17</v>
      </c>
      <c r="N7" s="12">
        <v>1170</v>
      </c>
      <c r="O7" s="12"/>
      <c r="P7" s="12" t="s">
        <v>802</v>
      </c>
      <c r="Q7" s="12"/>
      <c r="R7" s="12" t="s">
        <v>1014</v>
      </c>
      <c r="S7" s="12" t="s">
        <v>645</v>
      </c>
      <c r="T7" s="12"/>
      <c r="U7" s="12"/>
      <c r="V7" s="12"/>
      <c r="W7" s="12"/>
      <c r="X7" s="7"/>
      <c r="Y7" s="3" t="s">
        <v>187</v>
      </c>
      <c r="AA7" s="3" t="s">
        <v>851</v>
      </c>
      <c r="AC7" s="12" t="s">
        <v>1016</v>
      </c>
      <c r="AD7" s="12"/>
      <c r="AE7" s="12"/>
      <c r="AF7" s="7"/>
      <c r="AI7" s="3" t="s">
        <v>199</v>
      </c>
      <c r="AJ7" s="3" t="s">
        <v>180</v>
      </c>
      <c r="AK7" s="177" t="s">
        <v>1018</v>
      </c>
      <c r="AL7" s="12"/>
      <c r="AM7" s="12"/>
      <c r="AN7" s="12"/>
      <c r="AO7" s="12"/>
      <c r="AP7" s="12"/>
    </row>
    <row r="8" spans="1:52" ht="14.5" x14ac:dyDescent="0.35">
      <c r="A8" s="3" t="s">
        <v>989</v>
      </c>
      <c r="B8" s="7" t="s">
        <v>998</v>
      </c>
      <c r="C8" s="7"/>
      <c r="D8" s="7" t="s">
        <v>1004</v>
      </c>
      <c r="E8" s="12" t="s">
        <v>1013</v>
      </c>
      <c r="F8" s="12">
        <v>34.607390000000002</v>
      </c>
      <c r="G8" s="12">
        <v>-81.722819999999999</v>
      </c>
      <c r="H8" s="12"/>
      <c r="I8" s="12" t="s">
        <v>292</v>
      </c>
      <c r="J8" s="12"/>
      <c r="K8" s="12"/>
      <c r="L8" s="12"/>
      <c r="M8" s="12">
        <v>17</v>
      </c>
      <c r="N8" s="12">
        <v>1170</v>
      </c>
      <c r="O8" s="12"/>
      <c r="P8" s="12" t="s">
        <v>802</v>
      </c>
      <c r="Q8" s="12"/>
      <c r="R8" s="12" t="s">
        <v>1014</v>
      </c>
      <c r="S8" s="12" t="s">
        <v>645</v>
      </c>
      <c r="T8" s="12"/>
      <c r="U8" s="12"/>
      <c r="V8" s="12"/>
      <c r="W8" s="12"/>
      <c r="X8" s="7"/>
      <c r="Y8" s="3" t="s">
        <v>187</v>
      </c>
      <c r="AA8" s="3" t="s">
        <v>854</v>
      </c>
      <c r="AC8" s="12" t="s">
        <v>1015</v>
      </c>
      <c r="AD8" s="12"/>
      <c r="AE8" s="12"/>
      <c r="AF8" s="7"/>
      <c r="AI8" s="3" t="s">
        <v>199</v>
      </c>
      <c r="AJ8" s="3" t="s">
        <v>180</v>
      </c>
      <c r="AK8" s="177" t="s">
        <v>1018</v>
      </c>
      <c r="AL8" s="12"/>
      <c r="AM8" s="12"/>
      <c r="AN8" s="12"/>
      <c r="AO8" s="12"/>
      <c r="AP8" s="12"/>
    </row>
    <row r="9" spans="1:52" ht="14.5" x14ac:dyDescent="0.35">
      <c r="A9" s="3" t="s">
        <v>989</v>
      </c>
      <c r="B9" s="7" t="s">
        <v>998</v>
      </c>
      <c r="C9" s="7"/>
      <c r="D9" s="7" t="s">
        <v>1005</v>
      </c>
      <c r="E9" s="12" t="s">
        <v>1104</v>
      </c>
      <c r="F9" s="12">
        <v>34.6081</v>
      </c>
      <c r="G9" s="12">
        <v>-81.722530000000006</v>
      </c>
      <c r="H9" s="12"/>
      <c r="I9" s="12" t="s">
        <v>292</v>
      </c>
      <c r="J9" s="12"/>
      <c r="K9" s="12"/>
      <c r="L9" s="12"/>
      <c r="M9" s="12">
        <v>17</v>
      </c>
      <c r="N9" s="12">
        <v>1170</v>
      </c>
      <c r="O9" s="12"/>
      <c r="P9" s="12" t="s">
        <v>802</v>
      </c>
      <c r="Q9" s="12"/>
      <c r="R9" s="12" t="s">
        <v>1014</v>
      </c>
      <c r="S9" s="12" t="s">
        <v>645</v>
      </c>
      <c r="T9" s="12"/>
      <c r="U9" s="12"/>
      <c r="V9" s="12"/>
      <c r="W9" s="12"/>
      <c r="X9" s="7"/>
      <c r="Y9" s="3" t="s">
        <v>187</v>
      </c>
      <c r="AA9" s="3" t="s">
        <v>854</v>
      </c>
      <c r="AC9" s="12" t="s">
        <v>1015</v>
      </c>
      <c r="AD9" s="12"/>
      <c r="AE9" s="12"/>
      <c r="AF9" s="7"/>
      <c r="AI9" s="3" t="s">
        <v>199</v>
      </c>
      <c r="AJ9" s="3" t="s">
        <v>180</v>
      </c>
      <c r="AK9" s="177" t="s">
        <v>1018</v>
      </c>
      <c r="AL9" s="12"/>
      <c r="AM9" s="12"/>
      <c r="AN9" s="12"/>
      <c r="AO9" s="12"/>
      <c r="AP9" s="12"/>
    </row>
    <row r="10" spans="1:52" ht="14.5" x14ac:dyDescent="0.35">
      <c r="A10" s="3" t="s">
        <v>989</v>
      </c>
      <c r="B10" s="7" t="s">
        <v>998</v>
      </c>
      <c r="C10" s="7"/>
      <c r="D10" s="9" t="s">
        <v>1006</v>
      </c>
      <c r="E10" s="12" t="s">
        <v>1013</v>
      </c>
      <c r="F10" s="12">
        <v>34.61054</v>
      </c>
      <c r="G10" s="12">
        <v>-81.717579999999998</v>
      </c>
      <c r="H10" s="12"/>
      <c r="I10" s="12" t="s">
        <v>292</v>
      </c>
      <c r="J10" s="12"/>
      <c r="K10" s="12"/>
      <c r="L10" s="12"/>
      <c r="M10" s="12">
        <v>17</v>
      </c>
      <c r="N10" s="12">
        <v>1170</v>
      </c>
      <c r="O10" s="12"/>
      <c r="P10" s="12" t="s">
        <v>802</v>
      </c>
      <c r="Q10" s="12"/>
      <c r="R10" s="12" t="s">
        <v>1014</v>
      </c>
      <c r="S10" s="12" t="s">
        <v>645</v>
      </c>
      <c r="T10" s="12"/>
      <c r="U10" s="12"/>
      <c r="V10" s="12"/>
      <c r="W10" s="12"/>
      <c r="X10" s="7"/>
      <c r="Y10" s="3" t="s">
        <v>187</v>
      </c>
      <c r="AA10" s="3" t="s">
        <v>854</v>
      </c>
      <c r="AC10" s="12" t="s">
        <v>1015</v>
      </c>
      <c r="AD10" s="12"/>
      <c r="AE10" s="12"/>
      <c r="AF10" s="7"/>
      <c r="AI10" s="3" t="s">
        <v>199</v>
      </c>
      <c r="AJ10" s="3" t="s">
        <v>180</v>
      </c>
      <c r="AK10" s="177" t="s">
        <v>1018</v>
      </c>
      <c r="AL10" s="12"/>
      <c r="AM10" s="12"/>
      <c r="AN10" s="12"/>
      <c r="AO10" s="12"/>
      <c r="AP10" s="12"/>
    </row>
    <row r="11" spans="1:52" ht="14.5" x14ac:dyDescent="0.35">
      <c r="A11" s="3" t="s">
        <v>989</v>
      </c>
      <c r="B11" s="7" t="s">
        <v>998</v>
      </c>
      <c r="D11" s="9" t="s">
        <v>1007</v>
      </c>
      <c r="E11" s="12" t="s">
        <v>1013</v>
      </c>
      <c r="F11" s="3">
        <v>34.609119999999997</v>
      </c>
      <c r="G11" s="3">
        <v>-81.71808</v>
      </c>
      <c r="I11" s="12" t="s">
        <v>292</v>
      </c>
      <c r="M11" s="12">
        <v>17</v>
      </c>
      <c r="N11" s="12">
        <v>1170</v>
      </c>
      <c r="P11" s="12" t="s">
        <v>802</v>
      </c>
      <c r="R11" s="12" t="s">
        <v>1014</v>
      </c>
      <c r="S11" s="12" t="s">
        <v>645</v>
      </c>
      <c r="X11" s="9"/>
      <c r="Y11" s="3" t="s">
        <v>187</v>
      </c>
      <c r="AA11" s="3" t="s">
        <v>854</v>
      </c>
      <c r="AC11" s="12" t="s">
        <v>1015</v>
      </c>
      <c r="AI11" s="3" t="s">
        <v>199</v>
      </c>
      <c r="AJ11" s="3" t="s">
        <v>180</v>
      </c>
      <c r="AK11" s="177" t="s">
        <v>1018</v>
      </c>
    </row>
    <row r="12" spans="1:52" ht="14.5" x14ac:dyDescent="0.35">
      <c r="A12" s="3" t="s">
        <v>989</v>
      </c>
      <c r="B12" s="7" t="s">
        <v>998</v>
      </c>
      <c r="D12" s="9" t="s">
        <v>1008</v>
      </c>
      <c r="E12" s="12" t="s">
        <v>1013</v>
      </c>
      <c r="F12" s="3">
        <v>34.6098</v>
      </c>
      <c r="G12" s="3">
        <v>-81.719570000000004</v>
      </c>
      <c r="I12" s="12" t="s">
        <v>292</v>
      </c>
      <c r="M12" s="12">
        <v>17</v>
      </c>
      <c r="N12" s="12">
        <v>1170</v>
      </c>
      <c r="P12" s="12" t="s">
        <v>802</v>
      </c>
      <c r="R12" s="12" t="s">
        <v>1014</v>
      </c>
      <c r="S12" s="12" t="s">
        <v>645</v>
      </c>
      <c r="X12" s="9"/>
      <c r="Y12" s="3" t="s">
        <v>187</v>
      </c>
      <c r="AA12" s="3" t="s">
        <v>854</v>
      </c>
      <c r="AC12" s="12" t="s">
        <v>1015</v>
      </c>
      <c r="AI12" s="3" t="s">
        <v>199</v>
      </c>
      <c r="AJ12" s="3" t="s">
        <v>180</v>
      </c>
      <c r="AK12" s="177" t="s">
        <v>1018</v>
      </c>
    </row>
    <row r="13" spans="1:52" ht="14.5" x14ac:dyDescent="0.35">
      <c r="A13" s="3" t="s">
        <v>989</v>
      </c>
      <c r="B13" s="7" t="s">
        <v>998</v>
      </c>
      <c r="D13" s="9" t="s">
        <v>1009</v>
      </c>
      <c r="E13" s="12" t="s">
        <v>1013</v>
      </c>
      <c r="F13" s="3">
        <v>34.598230000000001</v>
      </c>
      <c r="G13" s="3">
        <v>-81.675780000000003</v>
      </c>
      <c r="I13" s="12" t="s">
        <v>292</v>
      </c>
      <c r="M13" s="12">
        <v>17</v>
      </c>
      <c r="N13" s="12">
        <v>1170</v>
      </c>
      <c r="P13" s="12" t="s">
        <v>802</v>
      </c>
      <c r="R13" s="12" t="s">
        <v>1014</v>
      </c>
      <c r="S13" s="12" t="s">
        <v>645</v>
      </c>
      <c r="X13" s="9"/>
      <c r="Y13" s="3" t="s">
        <v>187</v>
      </c>
      <c r="AA13" s="3" t="s">
        <v>851</v>
      </c>
      <c r="AC13" s="12" t="s">
        <v>1016</v>
      </c>
      <c r="AI13" s="3" t="s">
        <v>199</v>
      </c>
      <c r="AJ13" s="3" t="s">
        <v>180</v>
      </c>
      <c r="AK13" s="177" t="s">
        <v>1018</v>
      </c>
    </row>
    <row r="14" spans="1:52" ht="14.5" x14ac:dyDescent="0.35">
      <c r="A14" s="3" t="s">
        <v>989</v>
      </c>
      <c r="B14" s="7" t="s">
        <v>998</v>
      </c>
      <c r="D14" s="9" t="s">
        <v>1010</v>
      </c>
      <c r="E14" s="12" t="s">
        <v>1013</v>
      </c>
      <c r="F14" s="3">
        <v>34.598779999999998</v>
      </c>
      <c r="G14" s="3">
        <v>-81.683920000000001</v>
      </c>
      <c r="I14" s="12" t="s">
        <v>292</v>
      </c>
      <c r="M14" s="12">
        <v>17</v>
      </c>
      <c r="N14" s="12">
        <v>1170</v>
      </c>
      <c r="P14" s="12" t="s">
        <v>802</v>
      </c>
      <c r="R14" s="12" t="s">
        <v>1014</v>
      </c>
      <c r="S14" s="12" t="s">
        <v>645</v>
      </c>
      <c r="X14" s="9"/>
      <c r="Y14" s="3" t="s">
        <v>187</v>
      </c>
      <c r="AA14" s="3" t="s">
        <v>854</v>
      </c>
      <c r="AC14" s="12" t="s">
        <v>1015</v>
      </c>
      <c r="AI14" s="3" t="s">
        <v>199</v>
      </c>
      <c r="AJ14" s="3" t="s">
        <v>180</v>
      </c>
      <c r="AK14" s="177" t="s">
        <v>1018</v>
      </c>
    </row>
    <row r="15" spans="1:52" ht="14.5" x14ac:dyDescent="0.35">
      <c r="A15" s="3" t="s">
        <v>989</v>
      </c>
      <c r="B15" s="7" t="s">
        <v>998</v>
      </c>
      <c r="D15" s="9" t="s">
        <v>1011</v>
      </c>
      <c r="E15" s="12" t="s">
        <v>1013</v>
      </c>
      <c r="F15" s="3">
        <v>34.542149999999999</v>
      </c>
      <c r="G15" s="3">
        <v>-81.754869999999997</v>
      </c>
      <c r="I15" s="12" t="s">
        <v>292</v>
      </c>
      <c r="M15" s="12">
        <v>17</v>
      </c>
      <c r="N15" s="12">
        <v>1170</v>
      </c>
      <c r="P15" s="12" t="s">
        <v>802</v>
      </c>
      <c r="R15" s="12" t="s">
        <v>1014</v>
      </c>
      <c r="S15" s="12" t="s">
        <v>645</v>
      </c>
      <c r="X15" s="9"/>
      <c r="Y15" s="3" t="s">
        <v>187</v>
      </c>
      <c r="AA15" s="3" t="s">
        <v>851</v>
      </c>
      <c r="AC15" s="12" t="s">
        <v>1016</v>
      </c>
      <c r="AI15" s="3" t="s">
        <v>199</v>
      </c>
      <c r="AJ15" s="3" t="s">
        <v>180</v>
      </c>
      <c r="AK15" s="177" t="s">
        <v>1018</v>
      </c>
    </row>
    <row r="16" spans="1:52" ht="14.5" x14ac:dyDescent="0.35">
      <c r="A16" s="3" t="s">
        <v>989</v>
      </c>
      <c r="B16" s="7" t="s">
        <v>998</v>
      </c>
      <c r="D16" s="9" t="s">
        <v>1012</v>
      </c>
      <c r="E16" s="12" t="s">
        <v>1013</v>
      </c>
      <c r="F16" s="3">
        <v>34.541469999999997</v>
      </c>
      <c r="G16" s="3">
        <v>-81.755549999999999</v>
      </c>
      <c r="I16" s="12" t="s">
        <v>292</v>
      </c>
      <c r="M16" s="12">
        <v>17</v>
      </c>
      <c r="N16" s="12">
        <v>1170</v>
      </c>
      <c r="P16" s="12" t="s">
        <v>802</v>
      </c>
      <c r="R16" s="12" t="s">
        <v>1014</v>
      </c>
      <c r="S16" s="12" t="s">
        <v>645</v>
      </c>
      <c r="X16" s="9"/>
      <c r="Y16" s="3" t="s">
        <v>187</v>
      </c>
      <c r="AA16" s="3" t="s">
        <v>854</v>
      </c>
      <c r="AC16" s="12" t="s">
        <v>1015</v>
      </c>
      <c r="AI16" s="3" t="s">
        <v>199</v>
      </c>
      <c r="AJ16" s="3" t="s">
        <v>180</v>
      </c>
      <c r="AK16" s="177" t="s">
        <v>1018</v>
      </c>
    </row>
    <row r="17" spans="5:5" ht="14.5" x14ac:dyDescent="0.35">
      <c r="E17" s="3"/>
    </row>
    <row r="18" spans="5:5" ht="14.5" x14ac:dyDescent="0.35">
      <c r="E18" s="3"/>
    </row>
    <row r="19" spans="5:5" ht="14.5" x14ac:dyDescent="0.35">
      <c r="E19" s="3"/>
    </row>
    <row r="20" spans="5:5" ht="14.5" x14ac:dyDescent="0.35">
      <c r="E20" s="3"/>
    </row>
    <row r="21" spans="5:5" ht="14.5" x14ac:dyDescent="0.35">
      <c r="E21" s="3"/>
    </row>
    <row r="22" spans="5:5" ht="14.5" x14ac:dyDescent="0.35">
      <c r="E22" s="3"/>
    </row>
    <row r="23" spans="5:5" ht="14.5" x14ac:dyDescent="0.35">
      <c r="E23" s="3"/>
    </row>
    <row r="24" spans="5:5" ht="14.5" x14ac:dyDescent="0.35">
      <c r="E24" s="3"/>
    </row>
    <row r="25" spans="5:5" ht="14.5" x14ac:dyDescent="0.35">
      <c r="E25" s="3"/>
    </row>
    <row r="26" spans="5:5" ht="14.5" x14ac:dyDescent="0.35">
      <c r="E26" s="3"/>
    </row>
    <row r="27" spans="5:5" ht="14.5" x14ac:dyDescent="0.35">
      <c r="E27" s="3"/>
    </row>
    <row r="28" spans="5:5" ht="14.5" x14ac:dyDescent="0.35">
      <c r="E28" s="3"/>
    </row>
    <row r="29" spans="5:5" ht="14.5" x14ac:dyDescent="0.35">
      <c r="E29" s="3"/>
    </row>
    <row r="30" spans="5:5" ht="14.5" x14ac:dyDescent="0.35">
      <c r="E30" s="3"/>
    </row>
    <row r="31" spans="5:5" ht="14.5" x14ac:dyDescent="0.35">
      <c r="E31" s="3"/>
    </row>
    <row r="32" spans="5:5" ht="14.5" x14ac:dyDescent="0.35">
      <c r="E32" s="3"/>
    </row>
    <row r="33" spans="5:5" ht="14.5" x14ac:dyDescent="0.35">
      <c r="E33" s="3"/>
    </row>
    <row r="34" spans="5:5" ht="14.5" x14ac:dyDescent="0.35">
      <c r="E34" s="3"/>
    </row>
    <row r="35" spans="5:5" ht="14.5" x14ac:dyDescent="0.35">
      <c r="E35" s="3"/>
    </row>
    <row r="36" spans="5:5" ht="14.5" x14ac:dyDescent="0.35">
      <c r="E36" s="3"/>
    </row>
    <row r="37" spans="5:5" ht="14.5" x14ac:dyDescent="0.35">
      <c r="E37" s="3"/>
    </row>
    <row r="38" spans="5:5" ht="14.5" x14ac:dyDescent="0.35">
      <c r="E38" s="3"/>
    </row>
    <row r="39" spans="5:5" ht="14.5" x14ac:dyDescent="0.35">
      <c r="E39" s="3"/>
    </row>
    <row r="40" spans="5:5" ht="14.5" x14ac:dyDescent="0.35">
      <c r="E40" s="3"/>
    </row>
    <row r="41" spans="5:5" ht="14.5" x14ac:dyDescent="0.35">
      <c r="E41" s="3"/>
    </row>
    <row r="42" spans="5:5" ht="14.5" x14ac:dyDescent="0.35">
      <c r="E42" s="3"/>
    </row>
    <row r="43" spans="5:5" ht="14.5" x14ac:dyDescent="0.35">
      <c r="E43" s="3"/>
    </row>
    <row r="44" spans="5:5" ht="14.5" x14ac:dyDescent="0.35">
      <c r="E44" s="3"/>
    </row>
    <row r="45" spans="5:5" ht="14.5" x14ac:dyDescent="0.35">
      <c r="E45" s="3"/>
    </row>
    <row r="46" spans="5:5" ht="14.5" x14ac:dyDescent="0.35">
      <c r="E46" s="3"/>
    </row>
    <row r="47" spans="5:5" ht="14.5" x14ac:dyDescent="0.35">
      <c r="E47" s="3"/>
    </row>
    <row r="48" spans="5:5" ht="14.5" x14ac:dyDescent="0.35">
      <c r="E48" s="3"/>
    </row>
    <row r="49" spans="5:5" ht="14.5" x14ac:dyDescent="0.35">
      <c r="E49" s="3"/>
    </row>
    <row r="50" spans="5:5" ht="14.5" x14ac:dyDescent="0.35">
      <c r="E50" s="3"/>
    </row>
    <row r="51" spans="5:5" ht="14.5" x14ac:dyDescent="0.35">
      <c r="E51" s="3"/>
    </row>
    <row r="52" spans="5:5" ht="14.5" x14ac:dyDescent="0.35">
      <c r="E52" s="3"/>
    </row>
    <row r="53" spans="5:5" ht="14.5" x14ac:dyDescent="0.35">
      <c r="E53" s="3"/>
    </row>
    <row r="54" spans="5:5" ht="14.5" x14ac:dyDescent="0.35">
      <c r="E54" s="3"/>
    </row>
    <row r="55" spans="5:5" ht="14.5" x14ac:dyDescent="0.35">
      <c r="E55" s="3"/>
    </row>
    <row r="56" spans="5:5" ht="14.5" x14ac:dyDescent="0.35">
      <c r="E56" s="3"/>
    </row>
    <row r="57" spans="5:5" ht="14.5" x14ac:dyDescent="0.35">
      <c r="E57" s="3"/>
    </row>
    <row r="58" spans="5:5" ht="14.5" x14ac:dyDescent="0.35">
      <c r="E58" s="3"/>
    </row>
    <row r="59" spans="5:5" ht="14.5" x14ac:dyDescent="0.35">
      <c r="E59" s="3"/>
    </row>
    <row r="60" spans="5:5" ht="14.5" x14ac:dyDescent="0.35">
      <c r="E60" s="3"/>
    </row>
    <row r="61" spans="5:5" ht="14.5" x14ac:dyDescent="0.35">
      <c r="E61" s="3"/>
    </row>
    <row r="62" spans="5:5" ht="14.5" x14ac:dyDescent="0.35">
      <c r="E62" s="3"/>
    </row>
    <row r="63" spans="5:5" ht="14.5" x14ac:dyDescent="0.35">
      <c r="E63" s="3"/>
    </row>
    <row r="64" spans="5:5" ht="14.5" x14ac:dyDescent="0.35">
      <c r="E64" s="3"/>
    </row>
    <row r="65" spans="5:5" ht="14.5" x14ac:dyDescent="0.35">
      <c r="E65" s="3"/>
    </row>
    <row r="66" spans="5:5" ht="14.5" x14ac:dyDescent="0.35">
      <c r="E66" s="3"/>
    </row>
    <row r="67" spans="5:5" ht="14.5" x14ac:dyDescent="0.35">
      <c r="E67" s="3"/>
    </row>
    <row r="68" spans="5:5" ht="14.5" x14ac:dyDescent="0.35">
      <c r="E68" s="3"/>
    </row>
    <row r="69" spans="5:5" ht="14.5" x14ac:dyDescent="0.35">
      <c r="E69" s="3"/>
    </row>
    <row r="70" spans="5:5" ht="14.5" x14ac:dyDescent="0.35">
      <c r="E70" s="3"/>
    </row>
    <row r="71" spans="5:5" ht="14.5" x14ac:dyDescent="0.35">
      <c r="E71" s="3"/>
    </row>
    <row r="72" spans="5:5" ht="14.5" x14ac:dyDescent="0.35">
      <c r="E72" s="3"/>
    </row>
    <row r="73" spans="5:5" ht="14.5" x14ac:dyDescent="0.35">
      <c r="E73" s="3"/>
    </row>
    <row r="74" spans="5:5" ht="14.5" x14ac:dyDescent="0.35">
      <c r="E74" s="3"/>
    </row>
    <row r="75" spans="5:5" ht="14.5" x14ac:dyDescent="0.35">
      <c r="E75" s="3"/>
    </row>
    <row r="76" spans="5:5" ht="14.5" x14ac:dyDescent="0.35">
      <c r="E76" s="3"/>
    </row>
    <row r="77" spans="5:5" ht="14.5" x14ac:dyDescent="0.35">
      <c r="E77" s="3"/>
    </row>
    <row r="78" spans="5:5" ht="14.5" x14ac:dyDescent="0.35">
      <c r="E78" s="3"/>
    </row>
    <row r="79" spans="5:5" ht="14.5" x14ac:dyDescent="0.35">
      <c r="E79" s="3"/>
    </row>
    <row r="80" spans="5:5" ht="14.5" x14ac:dyDescent="0.35">
      <c r="E80" s="3"/>
    </row>
    <row r="81" spans="5:5" ht="14.5" x14ac:dyDescent="0.35">
      <c r="E81" s="3"/>
    </row>
    <row r="82" spans="5:5" ht="14.5" x14ac:dyDescent="0.35">
      <c r="E82" s="3"/>
    </row>
    <row r="83" spans="5:5" ht="14.5" x14ac:dyDescent="0.35">
      <c r="E83" s="3"/>
    </row>
    <row r="84" spans="5:5" ht="14.5" x14ac:dyDescent="0.35">
      <c r="E84" s="3"/>
    </row>
    <row r="85" spans="5:5" ht="14.5" x14ac:dyDescent="0.35">
      <c r="E85" s="3"/>
    </row>
    <row r="86" spans="5:5" ht="14.5" x14ac:dyDescent="0.35">
      <c r="E86" s="3"/>
    </row>
    <row r="87" spans="5:5" ht="14.5" x14ac:dyDescent="0.35">
      <c r="E87" s="3"/>
    </row>
    <row r="88" spans="5:5" ht="14.5" x14ac:dyDescent="0.35">
      <c r="E88" s="3"/>
    </row>
    <row r="89" spans="5:5" ht="14.5" x14ac:dyDescent="0.35">
      <c r="E89" s="3"/>
    </row>
    <row r="90" spans="5:5" ht="14.5" x14ac:dyDescent="0.35">
      <c r="E90" s="3"/>
    </row>
    <row r="91" spans="5:5" ht="14.5" x14ac:dyDescent="0.35">
      <c r="E91" s="3"/>
    </row>
    <row r="92" spans="5:5" ht="14.5" x14ac:dyDescent="0.35">
      <c r="E92" s="3"/>
    </row>
    <row r="93" spans="5:5" ht="14.5" x14ac:dyDescent="0.35">
      <c r="E93" s="3"/>
    </row>
    <row r="94" spans="5:5" ht="14.5" x14ac:dyDescent="0.35">
      <c r="E94" s="3"/>
    </row>
    <row r="95" spans="5:5" ht="14.5" x14ac:dyDescent="0.35">
      <c r="E95" s="3"/>
    </row>
    <row r="96" spans="5:5" ht="14.5" x14ac:dyDescent="0.35">
      <c r="E96" s="3"/>
    </row>
    <row r="97" spans="5:5" ht="14.5" x14ac:dyDescent="0.35">
      <c r="E97" s="3"/>
    </row>
    <row r="98" spans="5:5" ht="14.5" x14ac:dyDescent="0.35">
      <c r="E98" s="3"/>
    </row>
    <row r="99" spans="5:5" ht="14.5" x14ac:dyDescent="0.35">
      <c r="E99" s="3"/>
    </row>
    <row r="100" spans="5:5" ht="14.5" x14ac:dyDescent="0.35">
      <c r="E100" s="3"/>
    </row>
    <row r="101" spans="5:5" ht="14.5" x14ac:dyDescent="0.35">
      <c r="E101" s="3"/>
    </row>
    <row r="102" spans="5:5" ht="14.5" x14ac:dyDescent="0.35">
      <c r="E102" s="3"/>
    </row>
    <row r="103" spans="5:5" ht="14.5" x14ac:dyDescent="0.35">
      <c r="E103" s="3"/>
    </row>
    <row r="104" spans="5:5" ht="14.5" x14ac:dyDescent="0.35">
      <c r="E104" s="3"/>
    </row>
    <row r="105" spans="5:5" ht="14.5" x14ac:dyDescent="0.35">
      <c r="E105" s="3"/>
    </row>
    <row r="106" spans="5:5" ht="14.5" x14ac:dyDescent="0.35">
      <c r="E106" s="3"/>
    </row>
    <row r="107" spans="5:5" ht="14.5" x14ac:dyDescent="0.35">
      <c r="E107" s="3"/>
    </row>
    <row r="108" spans="5:5" ht="14.5" x14ac:dyDescent="0.35">
      <c r="E108" s="3"/>
    </row>
    <row r="109" spans="5:5" ht="14.5" x14ac:dyDescent="0.35">
      <c r="E109" s="3"/>
    </row>
    <row r="110" spans="5:5" ht="14.5" x14ac:dyDescent="0.35">
      <c r="E110" s="3"/>
    </row>
    <row r="111" spans="5:5" ht="14.5" x14ac:dyDescent="0.35">
      <c r="E111" s="3"/>
    </row>
    <row r="112" spans="5:5" ht="14.5" x14ac:dyDescent="0.35">
      <c r="E112" s="3"/>
    </row>
    <row r="113" spans="5:5" ht="14.5" x14ac:dyDescent="0.35">
      <c r="E113" s="3"/>
    </row>
    <row r="114" spans="5:5" ht="14.5" x14ac:dyDescent="0.35">
      <c r="E114" s="3"/>
    </row>
    <row r="115" spans="5:5" ht="14.5" x14ac:dyDescent="0.35">
      <c r="E115" s="3"/>
    </row>
    <row r="116" spans="5:5" ht="14.5" x14ac:dyDescent="0.35">
      <c r="E116" s="3"/>
    </row>
    <row r="117" spans="5:5" ht="14.5" x14ac:dyDescent="0.35">
      <c r="E117" s="3"/>
    </row>
    <row r="118" spans="5:5" ht="14.5" x14ac:dyDescent="0.35">
      <c r="E118" s="3"/>
    </row>
    <row r="119" spans="5:5" ht="14.5" x14ac:dyDescent="0.35">
      <c r="E119" s="3"/>
    </row>
    <row r="120" spans="5:5" ht="14.5" x14ac:dyDescent="0.35">
      <c r="E120" s="3"/>
    </row>
    <row r="121" spans="5:5" ht="14.5" x14ac:dyDescent="0.35">
      <c r="E121" s="3"/>
    </row>
    <row r="122" spans="5:5" ht="14.5" x14ac:dyDescent="0.35">
      <c r="E122" s="3"/>
    </row>
    <row r="123" spans="5:5" ht="14.5" x14ac:dyDescent="0.35">
      <c r="E123" s="3"/>
    </row>
    <row r="124" spans="5:5" ht="14.5" x14ac:dyDescent="0.35">
      <c r="E124" s="3"/>
    </row>
    <row r="125" spans="5:5" ht="14.5" x14ac:dyDescent="0.35">
      <c r="E125" s="3"/>
    </row>
    <row r="126" spans="5:5" ht="14.5" x14ac:dyDescent="0.35">
      <c r="E126" s="3"/>
    </row>
    <row r="127" spans="5:5" ht="14.5" x14ac:dyDescent="0.35">
      <c r="E127" s="3"/>
    </row>
    <row r="128" spans="5:5" ht="14.5" x14ac:dyDescent="0.35">
      <c r="E128" s="3"/>
    </row>
    <row r="129" spans="5:5" ht="14.5" x14ac:dyDescent="0.35">
      <c r="E129" s="3"/>
    </row>
    <row r="130" spans="5:5" ht="14.5" x14ac:dyDescent="0.35">
      <c r="E130" s="3"/>
    </row>
    <row r="131" spans="5:5" ht="14.5" x14ac:dyDescent="0.35">
      <c r="E131" s="3"/>
    </row>
    <row r="132" spans="5:5" ht="14.5" x14ac:dyDescent="0.35">
      <c r="E132" s="3"/>
    </row>
    <row r="133" spans="5:5" ht="14.5" x14ac:dyDescent="0.35">
      <c r="E133" s="3"/>
    </row>
    <row r="134" spans="5:5" ht="14.5" x14ac:dyDescent="0.35">
      <c r="E134" s="3"/>
    </row>
    <row r="135" spans="5:5" ht="14.5" x14ac:dyDescent="0.35">
      <c r="E135" s="3"/>
    </row>
    <row r="136" spans="5:5" ht="14.5" x14ac:dyDescent="0.35">
      <c r="E136" s="3"/>
    </row>
    <row r="137" spans="5:5" ht="14.5" x14ac:dyDescent="0.35">
      <c r="E137" s="3"/>
    </row>
    <row r="138" spans="5:5" ht="14.5" x14ac:dyDescent="0.35">
      <c r="E138" s="3"/>
    </row>
    <row r="139" spans="5:5" ht="14.5" x14ac:dyDescent="0.35">
      <c r="E139" s="3"/>
    </row>
    <row r="140" spans="5:5" ht="14.5" x14ac:dyDescent="0.35">
      <c r="E140" s="3"/>
    </row>
    <row r="141" spans="5:5" ht="14.5" x14ac:dyDescent="0.35">
      <c r="E141" s="3"/>
    </row>
    <row r="142" spans="5:5" ht="14.5" x14ac:dyDescent="0.35">
      <c r="E142" s="3"/>
    </row>
    <row r="143" spans="5:5" ht="14.5" x14ac:dyDescent="0.35">
      <c r="E143" s="3"/>
    </row>
    <row r="144" spans="5:5" ht="14.5" x14ac:dyDescent="0.35">
      <c r="E144" s="3"/>
    </row>
    <row r="145" spans="5:5" ht="14.5" x14ac:dyDescent="0.35">
      <c r="E145" s="3"/>
    </row>
    <row r="146" spans="5:5" ht="14.5" x14ac:dyDescent="0.35">
      <c r="E146" s="3"/>
    </row>
    <row r="147" spans="5:5" ht="14.5" x14ac:dyDescent="0.35">
      <c r="E147" s="3"/>
    </row>
    <row r="148" spans="5:5" ht="14.5" x14ac:dyDescent="0.35">
      <c r="E148" s="3"/>
    </row>
    <row r="149" spans="5:5" ht="14.5" x14ac:dyDescent="0.35">
      <c r="E149" s="3"/>
    </row>
    <row r="150" spans="5:5" ht="14.5" x14ac:dyDescent="0.35">
      <c r="E150" s="3"/>
    </row>
    <row r="151" spans="5:5" ht="14.5" x14ac:dyDescent="0.35">
      <c r="E151" s="3"/>
    </row>
    <row r="152" spans="5:5" ht="14.5" x14ac:dyDescent="0.35">
      <c r="E152" s="3"/>
    </row>
    <row r="153" spans="5:5" ht="14.5" x14ac:dyDescent="0.35">
      <c r="E153" s="3"/>
    </row>
    <row r="154" spans="5:5" ht="14.5" x14ac:dyDescent="0.35">
      <c r="E154" s="3"/>
    </row>
    <row r="155" spans="5:5" ht="14.5" x14ac:dyDescent="0.35">
      <c r="E155" s="3"/>
    </row>
    <row r="156" spans="5:5" ht="14.5" x14ac:dyDescent="0.35">
      <c r="E156" s="3"/>
    </row>
    <row r="157" spans="5:5" ht="14.5" x14ac:dyDescent="0.35">
      <c r="E157" s="3"/>
    </row>
    <row r="158" spans="5:5" ht="14.5" x14ac:dyDescent="0.35">
      <c r="E158" s="3"/>
    </row>
    <row r="159" spans="5:5" ht="14.5" x14ac:dyDescent="0.35">
      <c r="E159" s="3"/>
    </row>
    <row r="160" spans="5:5" ht="14.5" x14ac:dyDescent="0.35">
      <c r="E160" s="3"/>
    </row>
    <row r="161" spans="5:5" ht="14.5" x14ac:dyDescent="0.35">
      <c r="E161" s="3"/>
    </row>
    <row r="162" spans="5:5" ht="14.5" x14ac:dyDescent="0.35">
      <c r="E162" s="3"/>
    </row>
    <row r="163" spans="5:5" ht="14.5" x14ac:dyDescent="0.35">
      <c r="E163" s="3"/>
    </row>
    <row r="164" spans="5:5" ht="14.5" x14ac:dyDescent="0.35">
      <c r="E164" s="3"/>
    </row>
    <row r="165" spans="5:5" ht="14.5" x14ac:dyDescent="0.35">
      <c r="E165" s="3"/>
    </row>
    <row r="166" spans="5:5" ht="14.5" x14ac:dyDescent="0.35">
      <c r="E166" s="3"/>
    </row>
    <row r="167" spans="5:5" ht="14.5" x14ac:dyDescent="0.35">
      <c r="E167" s="3"/>
    </row>
    <row r="168" spans="5:5" ht="14.5" x14ac:dyDescent="0.35">
      <c r="E168" s="3"/>
    </row>
    <row r="169" spans="5:5" ht="14.5" x14ac:dyDescent="0.35">
      <c r="E169" s="3"/>
    </row>
    <row r="170" spans="5:5" ht="14.5" x14ac:dyDescent="0.35">
      <c r="E170" s="3"/>
    </row>
    <row r="171" spans="5:5" ht="14.5" x14ac:dyDescent="0.35">
      <c r="E171" s="3"/>
    </row>
    <row r="172" spans="5:5" ht="14.5" x14ac:dyDescent="0.35">
      <c r="E172" s="3"/>
    </row>
    <row r="173" spans="5:5" ht="14.5" x14ac:dyDescent="0.35">
      <c r="E173" s="3"/>
    </row>
    <row r="174" spans="5:5" ht="14.5" x14ac:dyDescent="0.35">
      <c r="E174" s="3"/>
    </row>
    <row r="175" spans="5:5" ht="14.5" x14ac:dyDescent="0.35">
      <c r="E175" s="3"/>
    </row>
    <row r="176" spans="5:5" ht="14.5" x14ac:dyDescent="0.35">
      <c r="E176" s="3"/>
    </row>
    <row r="177" spans="5:5" ht="14.5" x14ac:dyDescent="0.35">
      <c r="E177" s="3"/>
    </row>
    <row r="178" spans="5:5" ht="14.5" x14ac:dyDescent="0.35">
      <c r="E178" s="3"/>
    </row>
    <row r="179" spans="5:5" ht="14.5" x14ac:dyDescent="0.35">
      <c r="E179" s="3"/>
    </row>
    <row r="180" spans="5:5" ht="14.5" x14ac:dyDescent="0.35">
      <c r="E180" s="3"/>
    </row>
    <row r="181" spans="5:5" ht="14.5" x14ac:dyDescent="0.35">
      <c r="E181" s="3"/>
    </row>
    <row r="182" spans="5:5" ht="14.5" x14ac:dyDescent="0.35">
      <c r="E182" s="3"/>
    </row>
    <row r="183" spans="5:5" ht="14.5" x14ac:dyDescent="0.35">
      <c r="E183" s="3"/>
    </row>
    <row r="184" spans="5:5" ht="14.5" x14ac:dyDescent="0.35">
      <c r="E184" s="3"/>
    </row>
    <row r="185" spans="5:5" ht="14.5" x14ac:dyDescent="0.35">
      <c r="E185" s="3"/>
    </row>
    <row r="186" spans="5:5" ht="14.5" x14ac:dyDescent="0.35">
      <c r="E186" s="3"/>
    </row>
    <row r="187" spans="5:5" ht="14.5" x14ac:dyDescent="0.35">
      <c r="E187" s="3"/>
    </row>
    <row r="188" spans="5:5" ht="14.5" x14ac:dyDescent="0.35">
      <c r="E188" s="3"/>
    </row>
    <row r="189" spans="5:5" ht="14.5" x14ac:dyDescent="0.35">
      <c r="E189" s="3"/>
    </row>
    <row r="190" spans="5:5" ht="14.5" x14ac:dyDescent="0.35">
      <c r="E190" s="3"/>
    </row>
    <row r="191" spans="5:5" ht="14.5" x14ac:dyDescent="0.35">
      <c r="E191" s="3"/>
    </row>
    <row r="192" spans="5:5" ht="14.5" x14ac:dyDescent="0.35">
      <c r="E192" s="3"/>
    </row>
    <row r="193" spans="5:5" ht="14.5" x14ac:dyDescent="0.35">
      <c r="E193" s="3"/>
    </row>
    <row r="194" spans="5:5" ht="14.5" x14ac:dyDescent="0.35">
      <c r="E194" s="3"/>
    </row>
    <row r="195" spans="5:5" ht="14.5" x14ac:dyDescent="0.35">
      <c r="E195" s="3"/>
    </row>
    <row r="196" spans="5:5" ht="14.5" x14ac:dyDescent="0.35">
      <c r="E196" s="3"/>
    </row>
    <row r="197" spans="5:5" ht="14.5" x14ac:dyDescent="0.35">
      <c r="E197" s="3"/>
    </row>
    <row r="198" spans="5:5" ht="14.5" x14ac:dyDescent="0.35">
      <c r="E198" s="3"/>
    </row>
    <row r="199" spans="5:5" ht="14.5" x14ac:dyDescent="0.35">
      <c r="E199" s="3"/>
    </row>
    <row r="200" spans="5:5" ht="14.5" x14ac:dyDescent="0.35">
      <c r="E200" s="3"/>
    </row>
    <row r="201" spans="5:5" ht="14.5" x14ac:dyDescent="0.35">
      <c r="E201" s="3"/>
    </row>
    <row r="202" spans="5:5" ht="14.5" x14ac:dyDescent="0.35">
      <c r="E202" s="3"/>
    </row>
    <row r="203" spans="5:5" ht="14.5" x14ac:dyDescent="0.35">
      <c r="E203" s="3"/>
    </row>
    <row r="204" spans="5:5" ht="14.5" x14ac:dyDescent="0.35">
      <c r="E204" s="3"/>
    </row>
    <row r="205" spans="5:5" ht="14.5" x14ac:dyDescent="0.35">
      <c r="E205" s="3"/>
    </row>
    <row r="206" spans="5:5" ht="14.5" x14ac:dyDescent="0.35">
      <c r="E206" s="3"/>
    </row>
    <row r="207" spans="5:5" ht="14.5" x14ac:dyDescent="0.35">
      <c r="E207" s="3"/>
    </row>
    <row r="208" spans="5:5" ht="14.5" x14ac:dyDescent="0.35">
      <c r="E208" s="3"/>
    </row>
    <row r="209" spans="5:5" ht="14.5" x14ac:dyDescent="0.35">
      <c r="E209" s="3"/>
    </row>
    <row r="210" spans="5:5" ht="14.5" x14ac:dyDescent="0.35">
      <c r="E210" s="3"/>
    </row>
    <row r="211" spans="5:5" ht="14.5" x14ac:dyDescent="0.35">
      <c r="E211" s="3"/>
    </row>
    <row r="212" spans="5:5" ht="14.5" x14ac:dyDescent="0.35">
      <c r="E212" s="3"/>
    </row>
    <row r="213" spans="5:5" ht="14.5" x14ac:dyDescent="0.35">
      <c r="E213" s="3"/>
    </row>
    <row r="214" spans="5:5" ht="14.5" x14ac:dyDescent="0.35">
      <c r="E214" s="3"/>
    </row>
    <row r="215" spans="5:5" ht="14.5" x14ac:dyDescent="0.35">
      <c r="E215" s="3"/>
    </row>
    <row r="216" spans="5:5" ht="14.5" x14ac:dyDescent="0.35">
      <c r="E216" s="3"/>
    </row>
    <row r="217" spans="5:5" ht="14.5" x14ac:dyDescent="0.35">
      <c r="E217" s="3"/>
    </row>
    <row r="218" spans="5:5" ht="14.5" x14ac:dyDescent="0.35">
      <c r="E218" s="3"/>
    </row>
    <row r="219" spans="5:5" ht="14.5" x14ac:dyDescent="0.35">
      <c r="E219" s="3"/>
    </row>
    <row r="220" spans="5:5" ht="14.5" x14ac:dyDescent="0.35">
      <c r="E220" s="3"/>
    </row>
    <row r="221" spans="5:5" ht="14.5" x14ac:dyDescent="0.35">
      <c r="E221" s="3"/>
    </row>
    <row r="222" spans="5:5" ht="14.5" x14ac:dyDescent="0.35">
      <c r="E222" s="3"/>
    </row>
    <row r="223" spans="5:5" ht="14.5" x14ac:dyDescent="0.35">
      <c r="E223" s="3"/>
    </row>
    <row r="224" spans="5:5" ht="14.5" x14ac:dyDescent="0.35">
      <c r="E224" s="3"/>
    </row>
    <row r="225" spans="5:5" ht="14.5" x14ac:dyDescent="0.35">
      <c r="E225" s="3"/>
    </row>
    <row r="226" spans="5:5" ht="14.5" x14ac:dyDescent="0.35">
      <c r="E226" s="3"/>
    </row>
    <row r="227" spans="5:5" ht="14.5" x14ac:dyDescent="0.35">
      <c r="E227" s="3"/>
    </row>
    <row r="228" spans="5:5" ht="14.5" x14ac:dyDescent="0.35">
      <c r="E228" s="3"/>
    </row>
    <row r="229" spans="5:5" ht="14.5" x14ac:dyDescent="0.35">
      <c r="E229" s="3"/>
    </row>
    <row r="230" spans="5:5" ht="14.5" x14ac:dyDescent="0.35">
      <c r="E230" s="3"/>
    </row>
    <row r="231" spans="5:5" ht="14.5" x14ac:dyDescent="0.35">
      <c r="E231" s="3"/>
    </row>
    <row r="232" spans="5:5" ht="14.5" x14ac:dyDescent="0.35">
      <c r="E232" s="3"/>
    </row>
    <row r="233" spans="5:5" ht="14.5" x14ac:dyDescent="0.35">
      <c r="E233" s="3"/>
    </row>
    <row r="234" spans="5:5" ht="14.5" x14ac:dyDescent="0.35">
      <c r="E234" s="3"/>
    </row>
    <row r="235" spans="5:5" ht="14.5" x14ac:dyDescent="0.35">
      <c r="E235" s="3"/>
    </row>
    <row r="236" spans="5:5" ht="14.5" x14ac:dyDescent="0.35">
      <c r="E236" s="3"/>
    </row>
    <row r="237" spans="5:5" ht="14.5" x14ac:dyDescent="0.35">
      <c r="E237" s="3"/>
    </row>
    <row r="238" spans="5:5" ht="14.5" x14ac:dyDescent="0.35">
      <c r="E238" s="3"/>
    </row>
    <row r="239" spans="5:5" ht="14.5" x14ac:dyDescent="0.35">
      <c r="E239" s="3"/>
    </row>
    <row r="240" spans="5:5" ht="14.5" x14ac:dyDescent="0.35">
      <c r="E240" s="3"/>
    </row>
    <row r="241" spans="5:5" ht="14.5" x14ac:dyDescent="0.35">
      <c r="E241" s="3"/>
    </row>
    <row r="242" spans="5:5" ht="14.5" x14ac:dyDescent="0.35">
      <c r="E242" s="3"/>
    </row>
    <row r="243" spans="5:5" ht="14.5" x14ac:dyDescent="0.35">
      <c r="E243" s="3"/>
    </row>
    <row r="244" spans="5:5" ht="14.5" x14ac:dyDescent="0.35">
      <c r="E244" s="3"/>
    </row>
    <row r="245" spans="5:5" ht="14.5" x14ac:dyDescent="0.35">
      <c r="E245" s="3"/>
    </row>
    <row r="246" spans="5:5" ht="14.5" x14ac:dyDescent="0.35">
      <c r="E246" s="3"/>
    </row>
    <row r="247" spans="5:5" ht="14.5" x14ac:dyDescent="0.35">
      <c r="E247" s="3"/>
    </row>
    <row r="248" spans="5:5" ht="14.5" x14ac:dyDescent="0.35">
      <c r="E248" s="3"/>
    </row>
    <row r="249" spans="5:5" ht="14.5" x14ac:dyDescent="0.35">
      <c r="E249" s="3"/>
    </row>
    <row r="250" spans="5:5" ht="14.5" x14ac:dyDescent="0.35">
      <c r="E250" s="3"/>
    </row>
    <row r="251" spans="5:5" ht="14.5" x14ac:dyDescent="0.35">
      <c r="E251" s="3"/>
    </row>
    <row r="252" spans="5:5" ht="14.5" x14ac:dyDescent="0.35">
      <c r="E252" s="3"/>
    </row>
    <row r="253" spans="5:5" ht="14.5" x14ac:dyDescent="0.35">
      <c r="E253" s="3"/>
    </row>
    <row r="254" spans="5:5" ht="14.5" x14ac:dyDescent="0.35">
      <c r="E254" s="3"/>
    </row>
    <row r="255" spans="5:5" ht="14.5" x14ac:dyDescent="0.35">
      <c r="E255" s="3"/>
    </row>
    <row r="256" spans="5:5" ht="14.5" x14ac:dyDescent="0.35">
      <c r="E256" s="3"/>
    </row>
    <row r="257" spans="5:5" ht="14.5" x14ac:dyDescent="0.35">
      <c r="E257" s="3"/>
    </row>
    <row r="258" spans="5:5" ht="14.5" x14ac:dyDescent="0.35">
      <c r="E258" s="3"/>
    </row>
    <row r="259" spans="5:5" ht="14.5" x14ac:dyDescent="0.35">
      <c r="E259" s="3"/>
    </row>
    <row r="260" spans="5:5" ht="14.5" x14ac:dyDescent="0.35">
      <c r="E260" s="3"/>
    </row>
    <row r="261" spans="5:5" ht="14.5" x14ac:dyDescent="0.35">
      <c r="E261" s="3"/>
    </row>
    <row r="262" spans="5:5" ht="14.5" x14ac:dyDescent="0.35">
      <c r="E262" s="3"/>
    </row>
    <row r="263" spans="5:5" ht="14.5" x14ac:dyDescent="0.35">
      <c r="E263" s="3"/>
    </row>
    <row r="264" spans="5:5" ht="14.5" x14ac:dyDescent="0.35">
      <c r="E264" s="3"/>
    </row>
    <row r="265" spans="5:5" ht="14.5" x14ac:dyDescent="0.35">
      <c r="E265" s="3"/>
    </row>
    <row r="266" spans="5:5" ht="14.5" x14ac:dyDescent="0.35">
      <c r="E266" s="3"/>
    </row>
    <row r="267" spans="5:5" ht="14.5" x14ac:dyDescent="0.35">
      <c r="E267" s="3"/>
    </row>
    <row r="268" spans="5:5" ht="14.5" x14ac:dyDescent="0.35">
      <c r="E268" s="3"/>
    </row>
    <row r="269" spans="5:5" ht="14.5" x14ac:dyDescent="0.35">
      <c r="E269" s="3"/>
    </row>
    <row r="270" spans="5:5" ht="14.5" x14ac:dyDescent="0.35">
      <c r="E270" s="3"/>
    </row>
    <row r="271" spans="5:5" ht="14.5" x14ac:dyDescent="0.35">
      <c r="E271" s="3"/>
    </row>
    <row r="272" spans="5:5" ht="14.5" x14ac:dyDescent="0.35">
      <c r="E272" s="3"/>
    </row>
    <row r="273" spans="5:5" ht="14.5" x14ac:dyDescent="0.35">
      <c r="E273" s="3"/>
    </row>
    <row r="274" spans="5:5" ht="14.5" x14ac:dyDescent="0.35">
      <c r="E274" s="3"/>
    </row>
    <row r="275" spans="5:5" ht="14.5" x14ac:dyDescent="0.35">
      <c r="E275" s="3"/>
    </row>
    <row r="276" spans="5:5" ht="14.5" x14ac:dyDescent="0.35">
      <c r="E276" s="3"/>
    </row>
    <row r="277" spans="5:5" ht="14.5" x14ac:dyDescent="0.35">
      <c r="E277" s="3"/>
    </row>
    <row r="278" spans="5:5" ht="14.5" x14ac:dyDescent="0.35">
      <c r="E278" s="3"/>
    </row>
    <row r="279" spans="5:5" ht="14.5" x14ac:dyDescent="0.35">
      <c r="E279" s="3"/>
    </row>
    <row r="280" spans="5:5" ht="14.5" x14ac:dyDescent="0.35">
      <c r="E280" s="3"/>
    </row>
    <row r="281" spans="5:5" ht="14.5" x14ac:dyDescent="0.35">
      <c r="E281" s="3"/>
    </row>
    <row r="282" spans="5:5" ht="14.5" x14ac:dyDescent="0.35">
      <c r="E282" s="3"/>
    </row>
    <row r="283" spans="5:5" ht="14.5" x14ac:dyDescent="0.35">
      <c r="E283" s="3"/>
    </row>
    <row r="284" spans="5:5" ht="14.5" x14ac:dyDescent="0.35">
      <c r="E284" s="3"/>
    </row>
    <row r="285" spans="5:5" ht="14.5" x14ac:dyDescent="0.35">
      <c r="E285" s="3"/>
    </row>
    <row r="286" spans="5:5" ht="14.5" x14ac:dyDescent="0.35">
      <c r="E286" s="3"/>
    </row>
    <row r="287" spans="5:5" ht="14.5" x14ac:dyDescent="0.35">
      <c r="E287" s="3"/>
    </row>
    <row r="288" spans="5:5" ht="14.5" x14ac:dyDescent="0.35">
      <c r="E288" s="3"/>
    </row>
    <row r="289" spans="5:5" ht="14.5" x14ac:dyDescent="0.35">
      <c r="E289" s="3"/>
    </row>
    <row r="290" spans="5:5" ht="14.5" x14ac:dyDescent="0.35">
      <c r="E290" s="3"/>
    </row>
    <row r="291" spans="5:5" ht="14.5" x14ac:dyDescent="0.35">
      <c r="E291" s="3"/>
    </row>
    <row r="292" spans="5:5" ht="14.5" x14ac:dyDescent="0.35">
      <c r="E292" s="3"/>
    </row>
    <row r="293" spans="5:5" ht="14.5" x14ac:dyDescent="0.35">
      <c r="E293" s="3"/>
    </row>
    <row r="294" spans="5:5" ht="14.5" x14ac:dyDescent="0.35">
      <c r="E294" s="3"/>
    </row>
    <row r="295" spans="5:5" ht="14.5" x14ac:dyDescent="0.35">
      <c r="E295" s="3"/>
    </row>
    <row r="296" spans="5:5" ht="14.5" x14ac:dyDescent="0.35">
      <c r="E296" s="3"/>
    </row>
    <row r="297" spans="5:5" ht="14.5" x14ac:dyDescent="0.35">
      <c r="E297" s="3"/>
    </row>
    <row r="298" spans="5:5" ht="14.5" x14ac:dyDescent="0.35">
      <c r="E298" s="3"/>
    </row>
    <row r="299" spans="5:5" ht="14.5" x14ac:dyDescent="0.35">
      <c r="E299" s="3"/>
    </row>
    <row r="300" spans="5:5" ht="14.5" x14ac:dyDescent="0.35">
      <c r="E300" s="3"/>
    </row>
    <row r="301" spans="5:5" ht="14.5" x14ac:dyDescent="0.35">
      <c r="E301" s="3"/>
    </row>
    <row r="302" spans="5:5" ht="14.5" x14ac:dyDescent="0.35">
      <c r="E302" s="3"/>
    </row>
    <row r="303" spans="5:5" ht="14.5" x14ac:dyDescent="0.35">
      <c r="E303" s="3"/>
    </row>
    <row r="304" spans="5:5" ht="14.5" x14ac:dyDescent="0.35">
      <c r="E304" s="3"/>
    </row>
    <row r="305" spans="5:5" ht="14.5" x14ac:dyDescent="0.35">
      <c r="E305" s="3"/>
    </row>
    <row r="306" spans="5:5" ht="14.5" x14ac:dyDescent="0.35">
      <c r="E306" s="3"/>
    </row>
    <row r="307" spans="5:5" ht="14.5" x14ac:dyDescent="0.35">
      <c r="E307" s="3"/>
    </row>
    <row r="308" spans="5:5" ht="14.5" x14ac:dyDescent="0.35">
      <c r="E308" s="3"/>
    </row>
    <row r="309" spans="5:5" ht="14.5" x14ac:dyDescent="0.35">
      <c r="E309" s="3"/>
    </row>
    <row r="310" spans="5:5" ht="14.5" x14ac:dyDescent="0.35">
      <c r="E310" s="3"/>
    </row>
    <row r="311" spans="5:5" ht="14.5" x14ac:dyDescent="0.35">
      <c r="E311" s="3"/>
    </row>
    <row r="312" spans="5:5" ht="14.5" x14ac:dyDescent="0.35">
      <c r="E312" s="3"/>
    </row>
    <row r="313" spans="5:5" ht="14.5" x14ac:dyDescent="0.35">
      <c r="E313" s="3"/>
    </row>
    <row r="314" spans="5:5" ht="14.5" x14ac:dyDescent="0.35">
      <c r="E314" s="3"/>
    </row>
    <row r="315" spans="5:5" ht="14.5" x14ac:dyDescent="0.35">
      <c r="E315" s="3"/>
    </row>
    <row r="316" spans="5:5" ht="14.5" x14ac:dyDescent="0.35">
      <c r="E316" s="3"/>
    </row>
    <row r="317" spans="5:5" ht="14.5" x14ac:dyDescent="0.35">
      <c r="E317" s="3"/>
    </row>
    <row r="318" spans="5:5" ht="14.5" x14ac:dyDescent="0.35">
      <c r="E318" s="3"/>
    </row>
    <row r="319" spans="5:5" ht="14.5" x14ac:dyDescent="0.35">
      <c r="E319" s="3"/>
    </row>
    <row r="320" spans="5:5" ht="14.5" x14ac:dyDescent="0.35">
      <c r="E320" s="3"/>
    </row>
    <row r="321" spans="5:5" ht="14.5" x14ac:dyDescent="0.35">
      <c r="E321" s="3"/>
    </row>
    <row r="322" spans="5:5" ht="14.5" x14ac:dyDescent="0.35">
      <c r="E322" s="3"/>
    </row>
    <row r="323" spans="5:5" ht="14.5" x14ac:dyDescent="0.35">
      <c r="E323" s="3"/>
    </row>
    <row r="324" spans="5:5" ht="14.5" x14ac:dyDescent="0.35">
      <c r="E324" s="3"/>
    </row>
    <row r="325" spans="5:5" ht="14.5" x14ac:dyDescent="0.35">
      <c r="E325" s="3"/>
    </row>
    <row r="326" spans="5:5" ht="14.5" x14ac:dyDescent="0.35">
      <c r="E326" s="3"/>
    </row>
    <row r="327" spans="5:5" ht="14.5" x14ac:dyDescent="0.35">
      <c r="E327" s="3"/>
    </row>
    <row r="328" spans="5:5" ht="14.5" x14ac:dyDescent="0.35">
      <c r="E328" s="3"/>
    </row>
    <row r="329" spans="5:5" ht="14.5" x14ac:dyDescent="0.35">
      <c r="E329" s="3"/>
    </row>
    <row r="330" spans="5:5" ht="14.5" x14ac:dyDescent="0.35">
      <c r="E330" s="3"/>
    </row>
    <row r="331" spans="5:5" ht="14.5" x14ac:dyDescent="0.35">
      <c r="E331" s="3"/>
    </row>
    <row r="332" spans="5:5" ht="14.5" x14ac:dyDescent="0.35">
      <c r="E332" s="3"/>
    </row>
    <row r="333" spans="5:5" ht="14.5" x14ac:dyDescent="0.35">
      <c r="E333" s="3"/>
    </row>
    <row r="334" spans="5:5" ht="14.5" x14ac:dyDescent="0.35">
      <c r="E334" s="3"/>
    </row>
    <row r="335" spans="5:5" ht="14.5" x14ac:dyDescent="0.35">
      <c r="E335" s="3"/>
    </row>
    <row r="336" spans="5:5" ht="14.5" x14ac:dyDescent="0.35">
      <c r="E336" s="3"/>
    </row>
    <row r="337" spans="5:5" ht="14.5" x14ac:dyDescent="0.35">
      <c r="E337" s="3"/>
    </row>
    <row r="338" spans="5:5" ht="14.5" x14ac:dyDescent="0.35">
      <c r="E338" s="3"/>
    </row>
    <row r="339" spans="5:5" ht="14.5" x14ac:dyDescent="0.35">
      <c r="E339" s="3"/>
    </row>
    <row r="340" spans="5:5" ht="14.5" x14ac:dyDescent="0.35">
      <c r="E340" s="3"/>
    </row>
    <row r="341" spans="5:5" ht="14.5" x14ac:dyDescent="0.35">
      <c r="E341" s="3"/>
    </row>
    <row r="342" spans="5:5" ht="14.5" x14ac:dyDescent="0.35">
      <c r="E342" s="3"/>
    </row>
    <row r="343" spans="5:5" ht="14.5" x14ac:dyDescent="0.35">
      <c r="E343" s="3"/>
    </row>
    <row r="344" spans="5:5" ht="14.5" x14ac:dyDescent="0.35">
      <c r="E344" s="3"/>
    </row>
    <row r="345" spans="5:5" ht="14.5" x14ac:dyDescent="0.35">
      <c r="E345" s="3"/>
    </row>
    <row r="346" spans="5:5" ht="14.5" x14ac:dyDescent="0.35">
      <c r="E346" s="3"/>
    </row>
    <row r="347" spans="5:5" ht="14.5" x14ac:dyDescent="0.35">
      <c r="E347" s="3"/>
    </row>
    <row r="348" spans="5:5" ht="14.5" x14ac:dyDescent="0.35">
      <c r="E348" s="3"/>
    </row>
    <row r="349" spans="5:5" ht="14.5" x14ac:dyDescent="0.35">
      <c r="E349" s="3"/>
    </row>
    <row r="350" spans="5:5" ht="14.5" x14ac:dyDescent="0.35">
      <c r="E350" s="3"/>
    </row>
    <row r="351" spans="5:5" ht="14.5" x14ac:dyDescent="0.35">
      <c r="E351" s="3"/>
    </row>
    <row r="352" spans="5:5" ht="14.5" x14ac:dyDescent="0.35">
      <c r="E352" s="3"/>
    </row>
    <row r="353" spans="5:5" ht="14.5" x14ac:dyDescent="0.35">
      <c r="E353" s="3"/>
    </row>
    <row r="354" spans="5:5" ht="14.5" x14ac:dyDescent="0.35">
      <c r="E354" s="3"/>
    </row>
    <row r="355" spans="5:5" ht="14.5" x14ac:dyDescent="0.35">
      <c r="E355" s="3"/>
    </row>
    <row r="356" spans="5:5" ht="14.5" x14ac:dyDescent="0.35">
      <c r="E356" s="3"/>
    </row>
    <row r="357" spans="5:5" ht="14.5" x14ac:dyDescent="0.35">
      <c r="E357" s="3"/>
    </row>
    <row r="358" spans="5:5" ht="14.5" x14ac:dyDescent="0.35">
      <c r="E358" s="3"/>
    </row>
    <row r="359" spans="5:5" ht="14.5" x14ac:dyDescent="0.35">
      <c r="E359" s="3"/>
    </row>
    <row r="360" spans="5:5" ht="14.5" x14ac:dyDescent="0.35">
      <c r="E360" s="3"/>
    </row>
    <row r="361" spans="5:5" ht="14.5" x14ac:dyDescent="0.35">
      <c r="E361" s="3"/>
    </row>
    <row r="362" spans="5:5" ht="14.5" x14ac:dyDescent="0.35">
      <c r="E362" s="3"/>
    </row>
    <row r="363" spans="5:5" ht="14.5" x14ac:dyDescent="0.35">
      <c r="E363" s="3"/>
    </row>
    <row r="364" spans="5:5" ht="14.5" x14ac:dyDescent="0.35">
      <c r="E364" s="3"/>
    </row>
    <row r="365" spans="5:5" ht="14.5" x14ac:dyDescent="0.35">
      <c r="E365" s="3"/>
    </row>
    <row r="366" spans="5:5" ht="14.5" x14ac:dyDescent="0.35">
      <c r="E366" s="3"/>
    </row>
    <row r="367" spans="5:5" ht="14.5" x14ac:dyDescent="0.35">
      <c r="E367" s="3"/>
    </row>
    <row r="368" spans="5:5" ht="14.5" x14ac:dyDescent="0.35">
      <c r="E368" s="3"/>
    </row>
    <row r="369" spans="5:5" ht="14.5" x14ac:dyDescent="0.35">
      <c r="E369" s="3"/>
    </row>
    <row r="370" spans="5:5" ht="14.5" x14ac:dyDescent="0.35">
      <c r="E370" s="3"/>
    </row>
    <row r="371" spans="5:5" ht="14.5" x14ac:dyDescent="0.35">
      <c r="E371" s="3"/>
    </row>
    <row r="372" spans="5:5" ht="14.5" x14ac:dyDescent="0.35">
      <c r="E372" s="3"/>
    </row>
    <row r="373" spans="5:5" ht="14.5" x14ac:dyDescent="0.35">
      <c r="E373" s="3"/>
    </row>
    <row r="374" spans="5:5" ht="14.5" x14ac:dyDescent="0.35">
      <c r="E374" s="3"/>
    </row>
    <row r="375" spans="5:5" ht="14.5" x14ac:dyDescent="0.35">
      <c r="E375" s="3"/>
    </row>
    <row r="376" spans="5:5" ht="14.5" x14ac:dyDescent="0.35">
      <c r="E376" s="3"/>
    </row>
    <row r="377" spans="5:5" ht="14.5" x14ac:dyDescent="0.35">
      <c r="E377" s="3"/>
    </row>
    <row r="378" spans="5:5" ht="14.5" x14ac:dyDescent="0.35">
      <c r="E378" s="3"/>
    </row>
    <row r="379" spans="5:5" ht="14.5" x14ac:dyDescent="0.35">
      <c r="E379" s="3"/>
    </row>
    <row r="380" spans="5:5" ht="14.5" x14ac:dyDescent="0.35">
      <c r="E380" s="3"/>
    </row>
    <row r="381" spans="5:5" ht="14.5" x14ac:dyDescent="0.35">
      <c r="E381" s="3"/>
    </row>
    <row r="382" spans="5:5" ht="14.5" x14ac:dyDescent="0.35">
      <c r="E382" s="3"/>
    </row>
    <row r="383" spans="5:5" ht="14.5" x14ac:dyDescent="0.35">
      <c r="E383" s="3"/>
    </row>
    <row r="384" spans="5:5" ht="14.5" x14ac:dyDescent="0.35">
      <c r="E384" s="3"/>
    </row>
    <row r="385" spans="5:5" ht="14.5" x14ac:dyDescent="0.35">
      <c r="E385" s="3"/>
    </row>
    <row r="386" spans="5:5" ht="14.5" x14ac:dyDescent="0.35">
      <c r="E386" s="3"/>
    </row>
    <row r="387" spans="5:5" ht="14.5" x14ac:dyDescent="0.35">
      <c r="E387" s="3"/>
    </row>
    <row r="388" spans="5:5" ht="14.5" x14ac:dyDescent="0.35">
      <c r="E388" s="3"/>
    </row>
    <row r="389" spans="5:5" ht="14.5" x14ac:dyDescent="0.35">
      <c r="E389" s="3"/>
    </row>
    <row r="390" spans="5:5" ht="14.5" x14ac:dyDescent="0.35">
      <c r="E390" s="3"/>
    </row>
    <row r="391" spans="5:5" ht="14.5" x14ac:dyDescent="0.35">
      <c r="E391" s="3"/>
    </row>
    <row r="392" spans="5:5" ht="14.5" x14ac:dyDescent="0.35">
      <c r="E392" s="3"/>
    </row>
    <row r="393" spans="5:5" ht="14.5" x14ac:dyDescent="0.35">
      <c r="E393" s="3"/>
    </row>
    <row r="394" spans="5:5" ht="14.5" x14ac:dyDescent="0.35">
      <c r="E394" s="3"/>
    </row>
    <row r="395" spans="5:5" ht="14.5" x14ac:dyDescent="0.35">
      <c r="E395" s="3"/>
    </row>
    <row r="396" spans="5:5" ht="14.5" x14ac:dyDescent="0.35">
      <c r="E396" s="3"/>
    </row>
    <row r="397" spans="5:5" ht="14.5" x14ac:dyDescent="0.35">
      <c r="E397" s="3"/>
    </row>
    <row r="398" spans="5:5" ht="14.5" x14ac:dyDescent="0.35">
      <c r="E398" s="3"/>
    </row>
    <row r="399" spans="5:5" ht="14.5" x14ac:dyDescent="0.35">
      <c r="E399" s="3"/>
    </row>
    <row r="400" spans="5:5" ht="14.5" x14ac:dyDescent="0.35">
      <c r="E400" s="3"/>
    </row>
    <row r="401" spans="5:5" ht="14.5" x14ac:dyDescent="0.35">
      <c r="E401" s="3"/>
    </row>
    <row r="402" spans="5:5" ht="14.5" x14ac:dyDescent="0.35">
      <c r="E402" s="3"/>
    </row>
    <row r="403" spans="5:5" ht="14.5" x14ac:dyDescent="0.35">
      <c r="E403" s="3"/>
    </row>
    <row r="404" spans="5:5" ht="14.5" x14ac:dyDescent="0.35">
      <c r="E404" s="3"/>
    </row>
    <row r="405" spans="5:5" ht="14.5" x14ac:dyDescent="0.35">
      <c r="E405" s="3"/>
    </row>
    <row r="406" spans="5:5" ht="14.5" x14ac:dyDescent="0.35">
      <c r="E406" s="3"/>
    </row>
    <row r="407" spans="5:5" ht="14.5" x14ac:dyDescent="0.35">
      <c r="E407" s="3"/>
    </row>
    <row r="408" spans="5:5" ht="14.5" x14ac:dyDescent="0.35">
      <c r="E408" s="3"/>
    </row>
    <row r="409" spans="5:5" ht="14.5" x14ac:dyDescent="0.35">
      <c r="E409" s="3"/>
    </row>
    <row r="410" spans="5:5" ht="14.5" x14ac:dyDescent="0.35">
      <c r="E410" s="3"/>
    </row>
    <row r="411" spans="5:5" ht="14.5" x14ac:dyDescent="0.35">
      <c r="E411" s="3"/>
    </row>
    <row r="412" spans="5:5" ht="14.5" x14ac:dyDescent="0.35">
      <c r="E412" s="3"/>
    </row>
    <row r="413" spans="5:5" ht="14.5" x14ac:dyDescent="0.35">
      <c r="E413" s="3"/>
    </row>
    <row r="414" spans="5:5" ht="14.5" x14ac:dyDescent="0.35">
      <c r="E414" s="3"/>
    </row>
    <row r="415" spans="5:5" ht="14.5" x14ac:dyDescent="0.35">
      <c r="E415" s="3"/>
    </row>
    <row r="416" spans="5:5" ht="14.5" x14ac:dyDescent="0.35">
      <c r="E416" s="3"/>
    </row>
    <row r="417" spans="5:5" ht="14.5" x14ac:dyDescent="0.35">
      <c r="E417" s="3"/>
    </row>
    <row r="418" spans="5:5" ht="14.5" x14ac:dyDescent="0.35">
      <c r="E418" s="3"/>
    </row>
    <row r="419" spans="5:5" ht="14.5" x14ac:dyDescent="0.35">
      <c r="E419" s="3"/>
    </row>
    <row r="420" spans="5:5" ht="14.5" x14ac:dyDescent="0.35">
      <c r="E420" s="3"/>
    </row>
    <row r="421" spans="5:5" ht="14.5" x14ac:dyDescent="0.35">
      <c r="E421" s="3"/>
    </row>
    <row r="422" spans="5:5" ht="14.5" x14ac:dyDescent="0.35">
      <c r="E422" s="3"/>
    </row>
    <row r="423" spans="5:5" ht="14.5" x14ac:dyDescent="0.35">
      <c r="E423" s="3"/>
    </row>
    <row r="424" spans="5:5" ht="14.5" x14ac:dyDescent="0.35">
      <c r="E424" s="3"/>
    </row>
    <row r="425" spans="5:5" ht="14.5" x14ac:dyDescent="0.35">
      <c r="E425" s="3"/>
    </row>
    <row r="426" spans="5:5" ht="14.5" x14ac:dyDescent="0.35">
      <c r="E426" s="3"/>
    </row>
    <row r="427" spans="5:5" ht="14.5" x14ac:dyDescent="0.35">
      <c r="E427" s="3"/>
    </row>
    <row r="428" spans="5:5" ht="14.5" x14ac:dyDescent="0.35">
      <c r="E428" s="3"/>
    </row>
    <row r="429" spans="5:5" ht="14.5" x14ac:dyDescent="0.35">
      <c r="E429" s="3"/>
    </row>
    <row r="430" spans="5:5" ht="14.5" x14ac:dyDescent="0.35">
      <c r="E430" s="3"/>
    </row>
    <row r="431" spans="5:5" ht="14.5" x14ac:dyDescent="0.35">
      <c r="E431" s="3"/>
    </row>
    <row r="432" spans="5:5" ht="14.5" x14ac:dyDescent="0.35">
      <c r="E432" s="3"/>
    </row>
    <row r="433" spans="5:5" ht="14.5" x14ac:dyDescent="0.35">
      <c r="E433" s="3"/>
    </row>
    <row r="434" spans="5:5" ht="14.5" x14ac:dyDescent="0.35">
      <c r="E434" s="3"/>
    </row>
    <row r="435" spans="5:5" ht="14.5" x14ac:dyDescent="0.35">
      <c r="E435" s="3"/>
    </row>
    <row r="436" spans="5:5" ht="14.5" x14ac:dyDescent="0.35">
      <c r="E436" s="3"/>
    </row>
    <row r="437" spans="5:5" ht="14.5" x14ac:dyDescent="0.35">
      <c r="E437" s="3"/>
    </row>
    <row r="438" spans="5:5" ht="14.5" x14ac:dyDescent="0.35">
      <c r="E438" s="3"/>
    </row>
    <row r="439" spans="5:5" ht="14.5" x14ac:dyDescent="0.35">
      <c r="E439" s="3"/>
    </row>
    <row r="440" spans="5:5" ht="14.5" x14ac:dyDescent="0.35">
      <c r="E440" s="3"/>
    </row>
    <row r="441" spans="5:5" ht="14.5" x14ac:dyDescent="0.35">
      <c r="E441" s="3"/>
    </row>
    <row r="442" spans="5:5" ht="14.5" x14ac:dyDescent="0.35">
      <c r="E442" s="3"/>
    </row>
    <row r="443" spans="5:5" ht="14.5" x14ac:dyDescent="0.35">
      <c r="E443" s="3"/>
    </row>
    <row r="444" spans="5:5" ht="14.5" x14ac:dyDescent="0.35">
      <c r="E444" s="3"/>
    </row>
    <row r="445" spans="5:5" ht="14.5" x14ac:dyDescent="0.35">
      <c r="E445" s="3"/>
    </row>
    <row r="446" spans="5:5" ht="14.5" x14ac:dyDescent="0.35">
      <c r="E446" s="3"/>
    </row>
    <row r="447" spans="5:5" ht="14.5" x14ac:dyDescent="0.35">
      <c r="E447" s="3"/>
    </row>
    <row r="448" spans="5:5" ht="14.5" x14ac:dyDescent="0.35">
      <c r="E448" s="3"/>
    </row>
    <row r="449" spans="5:5" ht="14.5" x14ac:dyDescent="0.35">
      <c r="E449" s="3"/>
    </row>
    <row r="450" spans="5:5" ht="14.5" x14ac:dyDescent="0.35">
      <c r="E450" s="3"/>
    </row>
    <row r="451" spans="5:5" ht="14.5" x14ac:dyDescent="0.35">
      <c r="E451" s="3"/>
    </row>
    <row r="452" spans="5:5" ht="14.5" x14ac:dyDescent="0.35">
      <c r="E452" s="3"/>
    </row>
    <row r="453" spans="5:5" ht="14.5" x14ac:dyDescent="0.35">
      <c r="E453" s="3"/>
    </row>
    <row r="454" spans="5:5" ht="14.5" x14ac:dyDescent="0.35">
      <c r="E454" s="3"/>
    </row>
    <row r="455" spans="5:5" ht="14.5" x14ac:dyDescent="0.35">
      <c r="E455" s="3"/>
    </row>
    <row r="456" spans="5:5" ht="14.5" x14ac:dyDescent="0.35">
      <c r="E456" s="3"/>
    </row>
    <row r="457" spans="5:5" ht="14.5" x14ac:dyDescent="0.35">
      <c r="E457" s="3"/>
    </row>
    <row r="458" spans="5:5" ht="14.5" x14ac:dyDescent="0.35">
      <c r="E458" s="3"/>
    </row>
    <row r="459" spans="5:5" ht="14.5" x14ac:dyDescent="0.35">
      <c r="E459" s="3"/>
    </row>
    <row r="460" spans="5:5" ht="14.5" x14ac:dyDescent="0.35">
      <c r="E460" s="3"/>
    </row>
    <row r="461" spans="5:5" ht="14.5" x14ac:dyDescent="0.35">
      <c r="E461" s="3"/>
    </row>
    <row r="462" spans="5:5" ht="14.5" x14ac:dyDescent="0.35">
      <c r="E462" s="3"/>
    </row>
    <row r="463" spans="5:5" ht="14.5" x14ac:dyDescent="0.35">
      <c r="E463" s="3"/>
    </row>
    <row r="464" spans="5:5" ht="14.5" x14ac:dyDescent="0.35">
      <c r="E464" s="3"/>
    </row>
    <row r="465" spans="5:5" ht="14.5" x14ac:dyDescent="0.35">
      <c r="E465" s="3"/>
    </row>
    <row r="466" spans="5:5" ht="14.5" x14ac:dyDescent="0.35">
      <c r="E466" s="3"/>
    </row>
    <row r="467" spans="5:5" ht="14.5" x14ac:dyDescent="0.35">
      <c r="E467" s="3"/>
    </row>
    <row r="468" spans="5:5" ht="14.5" x14ac:dyDescent="0.35">
      <c r="E468" s="3"/>
    </row>
    <row r="469" spans="5:5" ht="14.5" x14ac:dyDescent="0.35">
      <c r="E469" s="3"/>
    </row>
    <row r="470" spans="5:5" ht="14.5" x14ac:dyDescent="0.35">
      <c r="E470" s="3"/>
    </row>
    <row r="471" spans="5:5" ht="14.5" x14ac:dyDescent="0.35">
      <c r="E471" s="3"/>
    </row>
    <row r="472" spans="5:5" ht="14.5" x14ac:dyDescent="0.35">
      <c r="E472" s="3"/>
    </row>
    <row r="473" spans="5:5" ht="14.5" x14ac:dyDescent="0.35">
      <c r="E473" s="3"/>
    </row>
    <row r="474" spans="5:5" ht="14.5" x14ac:dyDescent="0.35">
      <c r="E474" s="3"/>
    </row>
    <row r="475" spans="5:5" ht="14.5" x14ac:dyDescent="0.35">
      <c r="E475" s="3"/>
    </row>
    <row r="476" spans="5:5" ht="14.5" x14ac:dyDescent="0.35">
      <c r="E476" s="3"/>
    </row>
    <row r="477" spans="5:5" ht="14.5" x14ac:dyDescent="0.35">
      <c r="E477" s="3"/>
    </row>
    <row r="478" spans="5:5" ht="14.5" x14ac:dyDescent="0.35">
      <c r="E478" s="3"/>
    </row>
    <row r="479" spans="5:5" ht="14.5" x14ac:dyDescent="0.35">
      <c r="E479" s="3"/>
    </row>
    <row r="480" spans="5:5" ht="14.5" x14ac:dyDescent="0.35">
      <c r="E480" s="3"/>
    </row>
    <row r="481" spans="5:5" ht="14.5" x14ac:dyDescent="0.35">
      <c r="E481" s="3"/>
    </row>
    <row r="482" spans="5:5" ht="14.5" x14ac:dyDescent="0.35">
      <c r="E482" s="3"/>
    </row>
    <row r="483" spans="5:5" ht="14.5" x14ac:dyDescent="0.35">
      <c r="E483" s="3"/>
    </row>
    <row r="484" spans="5:5" ht="14.5" x14ac:dyDescent="0.35">
      <c r="E484" s="3"/>
    </row>
    <row r="485" spans="5:5" ht="14.5" x14ac:dyDescent="0.35">
      <c r="E485" s="3"/>
    </row>
    <row r="486" spans="5:5" ht="14.5" x14ac:dyDescent="0.35">
      <c r="E486" s="3"/>
    </row>
    <row r="487" spans="5:5" ht="14.5" x14ac:dyDescent="0.35">
      <c r="E487" s="3"/>
    </row>
    <row r="488" spans="5:5" ht="14.5" x14ac:dyDescent="0.35">
      <c r="E488" s="3"/>
    </row>
    <row r="489" spans="5:5" ht="14.5" x14ac:dyDescent="0.35">
      <c r="E489" s="3"/>
    </row>
    <row r="490" spans="5:5" ht="14.5" x14ac:dyDescent="0.35">
      <c r="E490" s="3"/>
    </row>
    <row r="491" spans="5:5" ht="14.5" x14ac:dyDescent="0.35">
      <c r="E491" s="3"/>
    </row>
    <row r="492" spans="5:5" ht="14.5" x14ac:dyDescent="0.35">
      <c r="E492" s="3"/>
    </row>
    <row r="493" spans="5:5" ht="14.5" x14ac:dyDescent="0.35">
      <c r="E493" s="3"/>
    </row>
    <row r="494" spans="5:5" ht="14.5" x14ac:dyDescent="0.35">
      <c r="E494" s="3"/>
    </row>
    <row r="495" spans="5:5" ht="14.5" x14ac:dyDescent="0.35">
      <c r="E495" s="3"/>
    </row>
    <row r="496" spans="5:5" ht="14.5" x14ac:dyDescent="0.35">
      <c r="E496" s="3"/>
    </row>
    <row r="497" spans="5:5" ht="14.5" x14ac:dyDescent="0.35">
      <c r="E497" s="3"/>
    </row>
    <row r="498" spans="5:5" ht="14.5" x14ac:dyDescent="0.35">
      <c r="E498" s="3"/>
    </row>
    <row r="499" spans="5:5" ht="14.5" x14ac:dyDescent="0.35">
      <c r="E499" s="3"/>
    </row>
    <row r="500" spans="5:5" ht="14.5" x14ac:dyDescent="0.35">
      <c r="E500" s="3"/>
    </row>
    <row r="501" spans="5:5" ht="14.5" x14ac:dyDescent="0.35">
      <c r="E501" s="3"/>
    </row>
    <row r="502" spans="5:5" ht="14.5" x14ac:dyDescent="0.35">
      <c r="E502" s="3"/>
    </row>
    <row r="503" spans="5:5" ht="14.5" x14ac:dyDescent="0.35">
      <c r="E503" s="3"/>
    </row>
    <row r="504" spans="5:5" ht="14.5" x14ac:dyDescent="0.35">
      <c r="E504" s="3"/>
    </row>
    <row r="505" spans="5:5" ht="14.5" x14ac:dyDescent="0.35">
      <c r="E505" s="3"/>
    </row>
    <row r="506" spans="5:5" ht="14.5" x14ac:dyDescent="0.35">
      <c r="E506" s="3"/>
    </row>
    <row r="507" spans="5:5" ht="14.5" x14ac:dyDescent="0.35">
      <c r="E507" s="3"/>
    </row>
    <row r="508" spans="5:5" ht="14.5" x14ac:dyDescent="0.35">
      <c r="E508" s="3"/>
    </row>
    <row r="509" spans="5:5" ht="14.5" x14ac:dyDescent="0.35">
      <c r="E509" s="3"/>
    </row>
    <row r="510" spans="5:5" ht="14.5" x14ac:dyDescent="0.35">
      <c r="E510" s="3"/>
    </row>
    <row r="511" spans="5:5" ht="14.5" x14ac:dyDescent="0.35">
      <c r="E511" s="3"/>
    </row>
    <row r="512" spans="5:5" ht="14.5" x14ac:dyDescent="0.35">
      <c r="E512" s="3"/>
    </row>
    <row r="513" spans="5:5" ht="14.5" x14ac:dyDescent="0.35">
      <c r="E513" s="3"/>
    </row>
    <row r="514" spans="5:5" ht="14.5" x14ac:dyDescent="0.35">
      <c r="E514" s="3"/>
    </row>
    <row r="515" spans="5:5" ht="14.5" x14ac:dyDescent="0.35">
      <c r="E515" s="3"/>
    </row>
    <row r="516" spans="5:5" ht="14.5" x14ac:dyDescent="0.35">
      <c r="E516" s="3"/>
    </row>
    <row r="517" spans="5:5" ht="14.5" x14ac:dyDescent="0.35">
      <c r="E517" s="3"/>
    </row>
    <row r="518" spans="5:5" ht="14.5" x14ac:dyDescent="0.35">
      <c r="E518" s="3"/>
    </row>
    <row r="519" spans="5:5" ht="14.5" x14ac:dyDescent="0.35">
      <c r="E519" s="3"/>
    </row>
    <row r="520" spans="5:5" ht="14.5" x14ac:dyDescent="0.35">
      <c r="E520" s="3"/>
    </row>
    <row r="521" spans="5:5" ht="14.5" x14ac:dyDescent="0.35">
      <c r="E521" s="3"/>
    </row>
    <row r="522" spans="5:5" ht="14.5" x14ac:dyDescent="0.35">
      <c r="E522" s="3"/>
    </row>
    <row r="523" spans="5:5" ht="14.5" x14ac:dyDescent="0.35">
      <c r="E523" s="3"/>
    </row>
    <row r="524" spans="5:5" ht="14.5" x14ac:dyDescent="0.35">
      <c r="E524" s="3"/>
    </row>
    <row r="525" spans="5:5" ht="14.5" x14ac:dyDescent="0.35">
      <c r="E525" s="3"/>
    </row>
    <row r="526" spans="5:5" ht="14.5" x14ac:dyDescent="0.35">
      <c r="E526" s="3"/>
    </row>
    <row r="527" spans="5:5" ht="14.5" x14ac:dyDescent="0.35">
      <c r="E527" s="3"/>
    </row>
    <row r="528" spans="5:5" ht="14.5" x14ac:dyDescent="0.35">
      <c r="E528" s="3"/>
    </row>
    <row r="529" spans="5:5" ht="14.5" x14ac:dyDescent="0.35">
      <c r="E529" s="3"/>
    </row>
    <row r="530" spans="5:5" ht="14.5" x14ac:dyDescent="0.35">
      <c r="E530" s="3"/>
    </row>
    <row r="531" spans="5:5" ht="14.5" x14ac:dyDescent="0.35">
      <c r="E531" s="3"/>
    </row>
    <row r="532" spans="5:5" ht="14.5" x14ac:dyDescent="0.35">
      <c r="E532" s="3"/>
    </row>
    <row r="533" spans="5:5" ht="14.5" x14ac:dyDescent="0.35">
      <c r="E533" s="3"/>
    </row>
    <row r="534" spans="5:5" ht="14.5" x14ac:dyDescent="0.35">
      <c r="E534" s="3"/>
    </row>
    <row r="535" spans="5:5" ht="14.5" x14ac:dyDescent="0.35">
      <c r="E535" s="3"/>
    </row>
    <row r="536" spans="5:5" ht="14.5" x14ac:dyDescent="0.35">
      <c r="E536" s="3"/>
    </row>
    <row r="537" spans="5:5" ht="14.5" x14ac:dyDescent="0.35">
      <c r="E537" s="3"/>
    </row>
    <row r="538" spans="5:5" ht="14.5" x14ac:dyDescent="0.35">
      <c r="E538" s="3"/>
    </row>
    <row r="539" spans="5:5" ht="14.5" x14ac:dyDescent="0.35">
      <c r="E539" s="3"/>
    </row>
    <row r="540" spans="5:5" ht="14.5" x14ac:dyDescent="0.35">
      <c r="E540" s="3"/>
    </row>
    <row r="541" spans="5:5" ht="14.5" x14ac:dyDescent="0.35">
      <c r="E541" s="3"/>
    </row>
    <row r="542" spans="5:5" ht="14.5" x14ac:dyDescent="0.35">
      <c r="E542" s="3"/>
    </row>
    <row r="543" spans="5:5" ht="14.5" x14ac:dyDescent="0.35">
      <c r="E543" s="3"/>
    </row>
    <row r="544" spans="5:5" ht="14.5" x14ac:dyDescent="0.35">
      <c r="E544" s="3"/>
    </row>
    <row r="545" spans="5:5" ht="14.5" x14ac:dyDescent="0.35">
      <c r="E545" s="3"/>
    </row>
    <row r="546" spans="5:5" ht="14.5" x14ac:dyDescent="0.35">
      <c r="E546" s="3"/>
    </row>
    <row r="547" spans="5:5" ht="14.5" x14ac:dyDescent="0.35">
      <c r="E547" s="3"/>
    </row>
    <row r="548" spans="5:5" ht="14.5" x14ac:dyDescent="0.35">
      <c r="E548" s="3"/>
    </row>
    <row r="549" spans="5:5" ht="14.5" x14ac:dyDescent="0.35">
      <c r="E549" s="3"/>
    </row>
    <row r="550" spans="5:5" ht="14.5" x14ac:dyDescent="0.35">
      <c r="E550" s="3"/>
    </row>
    <row r="551" spans="5:5" ht="14.5" x14ac:dyDescent="0.35">
      <c r="E551" s="3"/>
    </row>
    <row r="552" spans="5:5" ht="14.5" x14ac:dyDescent="0.35">
      <c r="E552" s="3"/>
    </row>
    <row r="553" spans="5:5" ht="14.5" x14ac:dyDescent="0.35">
      <c r="E553" s="3"/>
    </row>
    <row r="554" spans="5:5" ht="14.5" x14ac:dyDescent="0.35">
      <c r="E554" s="3"/>
    </row>
    <row r="555" spans="5:5" ht="14.5" x14ac:dyDescent="0.35">
      <c r="E555" s="3"/>
    </row>
    <row r="556" spans="5:5" ht="14.5" x14ac:dyDescent="0.35">
      <c r="E556" s="3"/>
    </row>
    <row r="557" spans="5:5" ht="14.5" x14ac:dyDescent="0.35">
      <c r="E557" s="3"/>
    </row>
    <row r="558" spans="5:5" ht="14.5" x14ac:dyDescent="0.35">
      <c r="E558" s="3"/>
    </row>
    <row r="559" spans="5:5" ht="14.5" x14ac:dyDescent="0.35">
      <c r="E559" s="3"/>
    </row>
    <row r="560" spans="5:5" ht="14.5" x14ac:dyDescent="0.35">
      <c r="E560" s="3"/>
    </row>
    <row r="561" spans="5:5" ht="14.5" x14ac:dyDescent="0.35">
      <c r="E561" s="3"/>
    </row>
    <row r="562" spans="5:5" ht="14.5" x14ac:dyDescent="0.35">
      <c r="E562" s="3"/>
    </row>
    <row r="563" spans="5:5" ht="14.5" x14ac:dyDescent="0.35">
      <c r="E563" s="3"/>
    </row>
    <row r="564" spans="5:5" ht="14.5" x14ac:dyDescent="0.35">
      <c r="E564" s="3"/>
    </row>
    <row r="565" spans="5:5" ht="14.5" x14ac:dyDescent="0.35">
      <c r="E565" s="3"/>
    </row>
    <row r="566" spans="5:5" ht="14.5" x14ac:dyDescent="0.35">
      <c r="E566" s="3"/>
    </row>
    <row r="567" spans="5:5" ht="14.5" x14ac:dyDescent="0.35">
      <c r="E567" s="3"/>
    </row>
    <row r="568" spans="5:5" ht="14.5" x14ac:dyDescent="0.35">
      <c r="E568" s="3"/>
    </row>
    <row r="569" spans="5:5" ht="14.5" x14ac:dyDescent="0.35">
      <c r="E569" s="3"/>
    </row>
    <row r="570" spans="5:5" ht="14.5" x14ac:dyDescent="0.35">
      <c r="E570" s="3"/>
    </row>
    <row r="571" spans="5:5" ht="14.5" x14ac:dyDescent="0.35">
      <c r="E571" s="3"/>
    </row>
    <row r="572" spans="5:5" ht="14.5" x14ac:dyDescent="0.35">
      <c r="E572" s="3"/>
    </row>
    <row r="573" spans="5:5" ht="14.5" x14ac:dyDescent="0.35">
      <c r="E573" s="3"/>
    </row>
    <row r="574" spans="5:5" ht="14.5" x14ac:dyDescent="0.35">
      <c r="E574" s="3"/>
    </row>
    <row r="575" spans="5:5" ht="14.5" x14ac:dyDescent="0.35">
      <c r="E575" s="3"/>
    </row>
    <row r="576" spans="5:5" ht="14.5" x14ac:dyDescent="0.35">
      <c r="E576" s="3"/>
    </row>
    <row r="577" spans="5:5" ht="14.5" x14ac:dyDescent="0.35">
      <c r="E577" s="3"/>
    </row>
    <row r="578" spans="5:5" ht="14.5" x14ac:dyDescent="0.35">
      <c r="E578" s="3"/>
    </row>
    <row r="579" spans="5:5" ht="14.5" x14ac:dyDescent="0.35">
      <c r="E579" s="3"/>
    </row>
    <row r="580" spans="5:5" ht="14.5" x14ac:dyDescent="0.35">
      <c r="E580" s="3"/>
    </row>
    <row r="581" spans="5:5" ht="14.5" x14ac:dyDescent="0.35">
      <c r="E581" s="3"/>
    </row>
    <row r="582" spans="5:5" ht="14.5" x14ac:dyDescent="0.35">
      <c r="E582" s="3"/>
    </row>
    <row r="583" spans="5:5" ht="14.5" x14ac:dyDescent="0.35">
      <c r="E583" s="3"/>
    </row>
    <row r="584" spans="5:5" ht="14.5" x14ac:dyDescent="0.35">
      <c r="E584" s="3"/>
    </row>
    <row r="585" spans="5:5" ht="14.5" x14ac:dyDescent="0.35">
      <c r="E585" s="3"/>
    </row>
    <row r="586" spans="5:5" ht="14.5" x14ac:dyDescent="0.35">
      <c r="E586" s="3"/>
    </row>
    <row r="587" spans="5:5" ht="14.5" x14ac:dyDescent="0.35">
      <c r="E587" s="3"/>
    </row>
    <row r="588" spans="5:5" ht="14.5" x14ac:dyDescent="0.35">
      <c r="E588" s="3"/>
    </row>
    <row r="589" spans="5:5" ht="14.5" x14ac:dyDescent="0.35">
      <c r="E589" s="3"/>
    </row>
    <row r="590" spans="5:5" ht="14.5" x14ac:dyDescent="0.35">
      <c r="E590" s="3"/>
    </row>
    <row r="591" spans="5:5" ht="14.5" x14ac:dyDescent="0.35">
      <c r="E591" s="3"/>
    </row>
    <row r="592" spans="5:5" ht="14.5" x14ac:dyDescent="0.35">
      <c r="E592" s="3"/>
    </row>
    <row r="593" spans="5:5" ht="14.5" x14ac:dyDescent="0.35">
      <c r="E593" s="3"/>
    </row>
    <row r="594" spans="5:5" ht="14.5" x14ac:dyDescent="0.35">
      <c r="E594" s="3"/>
    </row>
    <row r="595" spans="5:5" ht="14.5" x14ac:dyDescent="0.35">
      <c r="E595" s="3"/>
    </row>
    <row r="596" spans="5:5" ht="14.5" x14ac:dyDescent="0.35">
      <c r="E596" s="3"/>
    </row>
    <row r="597" spans="5:5" ht="14.5" x14ac:dyDescent="0.35">
      <c r="E597" s="3"/>
    </row>
    <row r="598" spans="5:5" ht="14.5" x14ac:dyDescent="0.35">
      <c r="E598" s="3"/>
    </row>
    <row r="599" spans="5:5" ht="14.5" x14ac:dyDescent="0.35">
      <c r="E599" s="3"/>
    </row>
    <row r="600" spans="5:5" ht="14.5" x14ac:dyDescent="0.35">
      <c r="E600" s="3"/>
    </row>
    <row r="601" spans="5:5" ht="14.5" x14ac:dyDescent="0.35">
      <c r="E601" s="3"/>
    </row>
    <row r="602" spans="5:5" ht="14.5" x14ac:dyDescent="0.35">
      <c r="E602" s="3"/>
    </row>
    <row r="603" spans="5:5" ht="14.5" x14ac:dyDescent="0.35">
      <c r="E603" s="3"/>
    </row>
    <row r="604" spans="5:5" ht="14.5" x14ac:dyDescent="0.35">
      <c r="E604" s="3"/>
    </row>
    <row r="605" spans="5:5" ht="14.5" x14ac:dyDescent="0.35">
      <c r="E605" s="3"/>
    </row>
    <row r="606" spans="5:5" ht="14.5" x14ac:dyDescent="0.35">
      <c r="E606" s="3"/>
    </row>
    <row r="607" spans="5:5" ht="14.5" x14ac:dyDescent="0.35">
      <c r="E607" s="3"/>
    </row>
    <row r="608" spans="5:5" ht="14.5" x14ac:dyDescent="0.35">
      <c r="E608" s="3"/>
    </row>
    <row r="609" spans="5:5" ht="14.5" x14ac:dyDescent="0.35">
      <c r="E609" s="3"/>
    </row>
    <row r="610" spans="5:5" ht="14.5" x14ac:dyDescent="0.35">
      <c r="E610" s="3"/>
    </row>
    <row r="611" spans="5:5" ht="14.5" x14ac:dyDescent="0.35">
      <c r="E611" s="3"/>
    </row>
    <row r="612" spans="5:5" ht="14.5" x14ac:dyDescent="0.35">
      <c r="E612" s="3"/>
    </row>
    <row r="613" spans="5:5" ht="14.5" x14ac:dyDescent="0.35">
      <c r="E613" s="3"/>
    </row>
    <row r="614" spans="5:5" ht="14.5" x14ac:dyDescent="0.35">
      <c r="E614" s="3"/>
    </row>
    <row r="615" spans="5:5" ht="14.5" x14ac:dyDescent="0.35">
      <c r="E615" s="3"/>
    </row>
    <row r="616" spans="5:5" ht="14.5" x14ac:dyDescent="0.35">
      <c r="E616" s="3"/>
    </row>
    <row r="617" spans="5:5" ht="14.5" x14ac:dyDescent="0.35">
      <c r="E617" s="3"/>
    </row>
    <row r="618" spans="5:5" ht="14.5" x14ac:dyDescent="0.35">
      <c r="E618" s="3"/>
    </row>
    <row r="619" spans="5:5" ht="14.5" x14ac:dyDescent="0.35">
      <c r="E619" s="3"/>
    </row>
    <row r="620" spans="5:5" ht="14.5" x14ac:dyDescent="0.35">
      <c r="E620" s="3"/>
    </row>
    <row r="621" spans="5:5" ht="14.5" x14ac:dyDescent="0.35">
      <c r="E621" s="3"/>
    </row>
    <row r="622" spans="5:5" ht="14.5" x14ac:dyDescent="0.35">
      <c r="E622" s="3"/>
    </row>
    <row r="623" spans="5:5" ht="14.5" x14ac:dyDescent="0.35">
      <c r="E623" s="3"/>
    </row>
    <row r="624" spans="5:5" ht="14.5" x14ac:dyDescent="0.35">
      <c r="E624" s="3"/>
    </row>
    <row r="625" spans="5:5" ht="14.5" x14ac:dyDescent="0.35">
      <c r="E625" s="3"/>
    </row>
    <row r="626" spans="5:5" ht="14.5" x14ac:dyDescent="0.35">
      <c r="E626" s="3"/>
    </row>
    <row r="627" spans="5:5" ht="14.5" x14ac:dyDescent="0.35">
      <c r="E627" s="3"/>
    </row>
    <row r="628" spans="5:5" ht="14.5" x14ac:dyDescent="0.35">
      <c r="E628" s="3"/>
    </row>
    <row r="629" spans="5:5" ht="14.5" x14ac:dyDescent="0.35">
      <c r="E629" s="3"/>
    </row>
    <row r="630" spans="5:5" ht="14.5" x14ac:dyDescent="0.35">
      <c r="E630" s="3"/>
    </row>
    <row r="631" spans="5:5" ht="14.5" x14ac:dyDescent="0.35">
      <c r="E631" s="3"/>
    </row>
    <row r="632" spans="5:5" ht="14.5" x14ac:dyDescent="0.35">
      <c r="E632" s="3"/>
    </row>
    <row r="633" spans="5:5" ht="14.5" x14ac:dyDescent="0.35">
      <c r="E633" s="3"/>
    </row>
    <row r="634" spans="5:5" ht="14.5" x14ac:dyDescent="0.35">
      <c r="E634" s="3"/>
    </row>
    <row r="635" spans="5:5" ht="14.5" x14ac:dyDescent="0.35">
      <c r="E635" s="3"/>
    </row>
    <row r="636" spans="5:5" ht="14.5" x14ac:dyDescent="0.35">
      <c r="E636" s="3"/>
    </row>
    <row r="637" spans="5:5" ht="14.5" x14ac:dyDescent="0.35">
      <c r="E637" s="3"/>
    </row>
    <row r="638" spans="5:5" ht="14.5" x14ac:dyDescent="0.35">
      <c r="E638" s="3"/>
    </row>
    <row r="639" spans="5:5" ht="14.5" x14ac:dyDescent="0.35">
      <c r="E639" s="3"/>
    </row>
    <row r="640" spans="5:5" ht="14.5" x14ac:dyDescent="0.35">
      <c r="E640" s="3"/>
    </row>
    <row r="641" spans="5:5" ht="14.5" x14ac:dyDescent="0.35">
      <c r="E641" s="3"/>
    </row>
    <row r="642" spans="5:5" ht="14.5" x14ac:dyDescent="0.35">
      <c r="E642" s="3"/>
    </row>
    <row r="643" spans="5:5" ht="14.5" x14ac:dyDescent="0.35">
      <c r="E643" s="3"/>
    </row>
    <row r="644" spans="5:5" ht="14.5" x14ac:dyDescent="0.35">
      <c r="E644" s="3"/>
    </row>
    <row r="645" spans="5:5" ht="14.5" x14ac:dyDescent="0.35">
      <c r="E645" s="3"/>
    </row>
    <row r="646" spans="5:5" ht="14.5" x14ac:dyDescent="0.35">
      <c r="E646" s="3"/>
    </row>
    <row r="647" spans="5:5" ht="14.5" x14ac:dyDescent="0.35">
      <c r="E647" s="3"/>
    </row>
    <row r="648" spans="5:5" ht="14.5" x14ac:dyDescent="0.35">
      <c r="E648" s="3"/>
    </row>
    <row r="649" spans="5:5" ht="14.5" x14ac:dyDescent="0.35">
      <c r="E649" s="3"/>
    </row>
    <row r="650" spans="5:5" ht="14.5" x14ac:dyDescent="0.35">
      <c r="E650" s="3"/>
    </row>
    <row r="651" spans="5:5" ht="14.5" x14ac:dyDescent="0.35">
      <c r="E651" s="3"/>
    </row>
    <row r="652" spans="5:5" ht="14.5" x14ac:dyDescent="0.35">
      <c r="E652" s="3"/>
    </row>
    <row r="653" spans="5:5" ht="14.5" x14ac:dyDescent="0.35">
      <c r="E653" s="3"/>
    </row>
    <row r="654" spans="5:5" ht="14.5" x14ac:dyDescent="0.35">
      <c r="E654" s="3"/>
    </row>
    <row r="655" spans="5:5" ht="14.5" x14ac:dyDescent="0.35">
      <c r="E655" s="3"/>
    </row>
    <row r="656" spans="5:5" ht="14.5" x14ac:dyDescent="0.35">
      <c r="E656" s="3"/>
    </row>
    <row r="657" spans="5:5" ht="14.5" x14ac:dyDescent="0.35">
      <c r="E657" s="3"/>
    </row>
    <row r="658" spans="5:5" ht="14.5" x14ac:dyDescent="0.35">
      <c r="E658" s="3"/>
    </row>
    <row r="659" spans="5:5" ht="14.5" x14ac:dyDescent="0.35">
      <c r="E659" s="3"/>
    </row>
    <row r="660" spans="5:5" ht="14.5" x14ac:dyDescent="0.35">
      <c r="E660" s="3"/>
    </row>
    <row r="661" spans="5:5" ht="14.5" x14ac:dyDescent="0.35">
      <c r="E661" s="3"/>
    </row>
    <row r="662" spans="5:5" ht="14.5" x14ac:dyDescent="0.35">
      <c r="E662" s="3"/>
    </row>
    <row r="663" spans="5:5" ht="14.5" x14ac:dyDescent="0.35">
      <c r="E663" s="3"/>
    </row>
    <row r="664" spans="5:5" ht="14.5" x14ac:dyDescent="0.35">
      <c r="E664" s="3"/>
    </row>
    <row r="665" spans="5:5" ht="14.5" x14ac:dyDescent="0.35">
      <c r="E665" s="3"/>
    </row>
    <row r="666" spans="5:5" ht="14.5" x14ac:dyDescent="0.35">
      <c r="E666" s="3"/>
    </row>
    <row r="667" spans="5:5" ht="14.5" x14ac:dyDescent="0.35">
      <c r="E667" s="3"/>
    </row>
    <row r="668" spans="5:5" ht="14.5" x14ac:dyDescent="0.35">
      <c r="E668" s="3"/>
    </row>
    <row r="669" spans="5:5" ht="14.5" x14ac:dyDescent="0.35">
      <c r="E669" s="3"/>
    </row>
    <row r="670" spans="5:5" ht="14.5" x14ac:dyDescent="0.35">
      <c r="E670" s="3"/>
    </row>
    <row r="671" spans="5:5" ht="14.5" x14ac:dyDescent="0.35">
      <c r="E671" s="3"/>
    </row>
    <row r="672" spans="5:5" ht="14.5" x14ac:dyDescent="0.35">
      <c r="E672" s="3"/>
    </row>
    <row r="673" spans="5:5" ht="14.5" x14ac:dyDescent="0.35">
      <c r="E673" s="3"/>
    </row>
    <row r="674" spans="5:5" ht="14.5" x14ac:dyDescent="0.35">
      <c r="E674" s="3"/>
    </row>
    <row r="675" spans="5:5" ht="14.5" x14ac:dyDescent="0.35">
      <c r="E675" s="3"/>
    </row>
    <row r="676" spans="5:5" ht="14.5" x14ac:dyDescent="0.35">
      <c r="E676" s="3"/>
    </row>
    <row r="677" spans="5:5" ht="14.5" x14ac:dyDescent="0.35">
      <c r="E677" s="3"/>
    </row>
    <row r="678" spans="5:5" ht="14.5" x14ac:dyDescent="0.35">
      <c r="E678" s="3"/>
    </row>
    <row r="679" spans="5:5" ht="14.5" x14ac:dyDescent="0.35">
      <c r="E679" s="3"/>
    </row>
    <row r="680" spans="5:5" ht="14.5" x14ac:dyDescent="0.35">
      <c r="E680" s="3"/>
    </row>
    <row r="681" spans="5:5" ht="14.5" x14ac:dyDescent="0.35">
      <c r="E681" s="3"/>
    </row>
    <row r="682" spans="5:5" ht="14.5" x14ac:dyDescent="0.35">
      <c r="E682" s="3"/>
    </row>
    <row r="683" spans="5:5" ht="14.5" x14ac:dyDescent="0.35">
      <c r="E683" s="3"/>
    </row>
    <row r="684" spans="5:5" ht="14.5" x14ac:dyDescent="0.35">
      <c r="E684" s="3"/>
    </row>
    <row r="685" spans="5:5" ht="14.5" x14ac:dyDescent="0.35">
      <c r="E685" s="3"/>
    </row>
    <row r="686" spans="5:5" ht="14.5" x14ac:dyDescent="0.35">
      <c r="E686" s="3"/>
    </row>
    <row r="687" spans="5:5" ht="14.5" x14ac:dyDescent="0.35">
      <c r="E687" s="3"/>
    </row>
    <row r="688" spans="5:5" ht="14.5" x14ac:dyDescent="0.35">
      <c r="E688" s="3"/>
    </row>
    <row r="689" spans="5:5" ht="14.5" x14ac:dyDescent="0.35">
      <c r="E689" s="3"/>
    </row>
    <row r="690" spans="5:5" ht="14.5" x14ac:dyDescent="0.35">
      <c r="E690" s="3"/>
    </row>
    <row r="691" spans="5:5" ht="14.5" x14ac:dyDescent="0.35">
      <c r="E691" s="3"/>
    </row>
    <row r="692" spans="5:5" ht="14.5" x14ac:dyDescent="0.35">
      <c r="E692" s="3"/>
    </row>
    <row r="693" spans="5:5" ht="14.5" x14ac:dyDescent="0.35">
      <c r="E693" s="3"/>
    </row>
    <row r="694" spans="5:5" ht="14.5" x14ac:dyDescent="0.35">
      <c r="E694" s="3"/>
    </row>
    <row r="695" spans="5:5" ht="14.5" x14ac:dyDescent="0.35">
      <c r="E695" s="3"/>
    </row>
    <row r="696" spans="5:5" ht="14.5" x14ac:dyDescent="0.35">
      <c r="E696" s="3"/>
    </row>
    <row r="697" spans="5:5" ht="14.5" x14ac:dyDescent="0.35">
      <c r="E697" s="3"/>
    </row>
    <row r="698" spans="5:5" ht="14.5" x14ac:dyDescent="0.35">
      <c r="E698" s="3"/>
    </row>
    <row r="699" spans="5:5" ht="14.5" x14ac:dyDescent="0.35">
      <c r="E699" s="3"/>
    </row>
    <row r="700" spans="5:5" ht="14.5" x14ac:dyDescent="0.35">
      <c r="E700" s="3"/>
    </row>
    <row r="701" spans="5:5" ht="14.5" x14ac:dyDescent="0.35">
      <c r="E701" s="3"/>
    </row>
    <row r="702" spans="5:5" ht="14.5" x14ac:dyDescent="0.35">
      <c r="E702" s="3"/>
    </row>
    <row r="703" spans="5:5" ht="14.5" x14ac:dyDescent="0.35">
      <c r="E703" s="3"/>
    </row>
    <row r="704" spans="5:5" ht="14.5" x14ac:dyDescent="0.35">
      <c r="E704" s="3"/>
    </row>
    <row r="705" spans="5:5" ht="14.5" x14ac:dyDescent="0.35">
      <c r="E705" s="3"/>
    </row>
    <row r="706" spans="5:5" ht="14.5" x14ac:dyDescent="0.35">
      <c r="E706" s="3"/>
    </row>
    <row r="707" spans="5:5" ht="14.5" x14ac:dyDescent="0.35">
      <c r="E707" s="3"/>
    </row>
    <row r="708" spans="5:5" ht="14.5" x14ac:dyDescent="0.35">
      <c r="E708" s="3"/>
    </row>
    <row r="709" spans="5:5" ht="14.5" x14ac:dyDescent="0.35">
      <c r="E709" s="3"/>
    </row>
    <row r="710" spans="5:5" ht="14.5" x14ac:dyDescent="0.35">
      <c r="E710" s="3"/>
    </row>
    <row r="711" spans="5:5" ht="14.5" x14ac:dyDescent="0.35">
      <c r="E711" s="3"/>
    </row>
    <row r="712" spans="5:5" ht="14.5" x14ac:dyDescent="0.35">
      <c r="E712" s="3"/>
    </row>
    <row r="713" spans="5:5" ht="14.5" x14ac:dyDescent="0.35">
      <c r="E713" s="3"/>
    </row>
    <row r="714" spans="5:5" ht="14.5" x14ac:dyDescent="0.35">
      <c r="E714" s="3"/>
    </row>
    <row r="715" spans="5:5" ht="14.5" x14ac:dyDescent="0.35">
      <c r="E715" s="3"/>
    </row>
    <row r="716" spans="5:5" ht="14.5" x14ac:dyDescent="0.35">
      <c r="E716" s="3"/>
    </row>
    <row r="717" spans="5:5" ht="14.5" x14ac:dyDescent="0.35">
      <c r="E717" s="3"/>
    </row>
    <row r="718" spans="5:5" ht="14.5" x14ac:dyDescent="0.35">
      <c r="E718" s="3"/>
    </row>
    <row r="719" spans="5:5" ht="14.5" x14ac:dyDescent="0.35">
      <c r="E719" s="3"/>
    </row>
    <row r="720" spans="5:5" ht="14.5" x14ac:dyDescent="0.35">
      <c r="E720" s="3"/>
    </row>
    <row r="721" spans="5:5" ht="14.5" x14ac:dyDescent="0.35">
      <c r="E721" s="3"/>
    </row>
    <row r="722" spans="5:5" ht="14.5" x14ac:dyDescent="0.35">
      <c r="E722" s="3"/>
    </row>
    <row r="723" spans="5:5" ht="14.5" x14ac:dyDescent="0.35">
      <c r="E723" s="3"/>
    </row>
    <row r="724" spans="5:5" ht="14.5" x14ac:dyDescent="0.35">
      <c r="E724" s="3"/>
    </row>
    <row r="725" spans="5:5" ht="14.5" x14ac:dyDescent="0.35">
      <c r="E725" s="3"/>
    </row>
    <row r="726" spans="5:5" ht="14.5" x14ac:dyDescent="0.35">
      <c r="E726" s="3"/>
    </row>
    <row r="727" spans="5:5" ht="14.5" x14ac:dyDescent="0.35">
      <c r="E727" s="3"/>
    </row>
    <row r="728" spans="5:5" ht="14.5" x14ac:dyDescent="0.35">
      <c r="E728" s="3"/>
    </row>
    <row r="729" spans="5:5" ht="14.5" x14ac:dyDescent="0.35">
      <c r="E729" s="3"/>
    </row>
    <row r="730" spans="5:5" ht="14.5" x14ac:dyDescent="0.35">
      <c r="E730" s="3"/>
    </row>
    <row r="731" spans="5:5" ht="14.5" x14ac:dyDescent="0.35">
      <c r="E731" s="3"/>
    </row>
    <row r="732" spans="5:5" ht="14.5" x14ac:dyDescent="0.35">
      <c r="E732" s="3"/>
    </row>
    <row r="733" spans="5:5" ht="14.5" x14ac:dyDescent="0.35">
      <c r="E733" s="3"/>
    </row>
    <row r="734" spans="5:5" ht="14.5" x14ac:dyDescent="0.35">
      <c r="E734" s="3"/>
    </row>
    <row r="735" spans="5:5" ht="14.5" x14ac:dyDescent="0.35">
      <c r="E735" s="3"/>
    </row>
    <row r="736" spans="5:5" ht="14.5" x14ac:dyDescent="0.35">
      <c r="E736" s="3"/>
    </row>
    <row r="737" spans="5:5" ht="14.5" x14ac:dyDescent="0.35">
      <c r="E737" s="3"/>
    </row>
    <row r="738" spans="5:5" ht="14.5" x14ac:dyDescent="0.35">
      <c r="E738" s="3"/>
    </row>
    <row r="739" spans="5:5" ht="14.5" x14ac:dyDescent="0.35">
      <c r="E739" s="3"/>
    </row>
    <row r="740" spans="5:5" ht="14.5" x14ac:dyDescent="0.35">
      <c r="E740" s="3"/>
    </row>
    <row r="741" spans="5:5" ht="14.5" x14ac:dyDescent="0.35">
      <c r="E741" s="3"/>
    </row>
    <row r="742" spans="5:5" ht="14.5" x14ac:dyDescent="0.35">
      <c r="E742" s="3"/>
    </row>
    <row r="743" spans="5:5" ht="14.5" x14ac:dyDescent="0.35">
      <c r="E743" s="3"/>
    </row>
    <row r="744" spans="5:5" ht="14.5" x14ac:dyDescent="0.35">
      <c r="E744" s="3"/>
    </row>
    <row r="745" spans="5:5" ht="14.5" x14ac:dyDescent="0.35">
      <c r="E745" s="3"/>
    </row>
    <row r="746" spans="5:5" ht="14.5" x14ac:dyDescent="0.35">
      <c r="E746" s="3"/>
    </row>
    <row r="747" spans="5:5" ht="14.5" x14ac:dyDescent="0.35">
      <c r="E747" s="3"/>
    </row>
    <row r="748" spans="5:5" ht="14.5" x14ac:dyDescent="0.35">
      <c r="E748" s="3"/>
    </row>
    <row r="749" spans="5:5" ht="14.5" x14ac:dyDescent="0.35">
      <c r="E749" s="3"/>
    </row>
    <row r="750" spans="5:5" ht="14.5" x14ac:dyDescent="0.35">
      <c r="E750" s="3"/>
    </row>
    <row r="751" spans="5:5" ht="14.5" x14ac:dyDescent="0.35">
      <c r="E751" s="3"/>
    </row>
    <row r="752" spans="5:5" ht="14.5" x14ac:dyDescent="0.35">
      <c r="E752" s="3"/>
    </row>
    <row r="753" spans="5:5" ht="14.5" x14ac:dyDescent="0.35">
      <c r="E753" s="3"/>
    </row>
    <row r="754" spans="5:5" ht="14.5" x14ac:dyDescent="0.35">
      <c r="E754" s="3"/>
    </row>
    <row r="755" spans="5:5" ht="14.5" x14ac:dyDescent="0.35">
      <c r="E755" s="3"/>
    </row>
    <row r="756" spans="5:5" ht="14.5" x14ac:dyDescent="0.35">
      <c r="E756" s="3"/>
    </row>
    <row r="757" spans="5:5" ht="14.5" x14ac:dyDescent="0.35">
      <c r="E757" s="3"/>
    </row>
    <row r="758" spans="5:5" ht="14.5" x14ac:dyDescent="0.35">
      <c r="E758" s="3"/>
    </row>
    <row r="759" spans="5:5" ht="14.5" x14ac:dyDescent="0.35">
      <c r="E759" s="3"/>
    </row>
    <row r="760" spans="5:5" ht="14.5" x14ac:dyDescent="0.35">
      <c r="E760" s="3"/>
    </row>
    <row r="761" spans="5:5" ht="14.5" x14ac:dyDescent="0.35">
      <c r="E761" s="3"/>
    </row>
    <row r="762" spans="5:5" ht="14.5" x14ac:dyDescent="0.35">
      <c r="E762" s="3"/>
    </row>
    <row r="763" spans="5:5" ht="14.5" x14ac:dyDescent="0.35">
      <c r="E763" s="3"/>
    </row>
    <row r="764" spans="5:5" ht="14.5" x14ac:dyDescent="0.35">
      <c r="E764" s="3"/>
    </row>
    <row r="765" spans="5:5" ht="14.5" x14ac:dyDescent="0.35">
      <c r="E765" s="3"/>
    </row>
    <row r="766" spans="5:5" ht="14.5" x14ac:dyDescent="0.35">
      <c r="E766" s="3"/>
    </row>
    <row r="767" spans="5:5" ht="14.5" x14ac:dyDescent="0.35">
      <c r="E767" s="3"/>
    </row>
    <row r="768" spans="5:5" ht="14.5" x14ac:dyDescent="0.35">
      <c r="E768" s="3"/>
    </row>
    <row r="769" spans="5:5" ht="14.5" x14ac:dyDescent="0.35">
      <c r="E769" s="3"/>
    </row>
    <row r="770" spans="5:5" ht="14.5" x14ac:dyDescent="0.35">
      <c r="E770" s="3"/>
    </row>
    <row r="771" spans="5:5" ht="14.5" x14ac:dyDescent="0.35">
      <c r="E771" s="3"/>
    </row>
    <row r="772" spans="5:5" ht="14.5" x14ac:dyDescent="0.35">
      <c r="E772" s="3"/>
    </row>
    <row r="773" spans="5:5" ht="14.5" x14ac:dyDescent="0.35">
      <c r="E773" s="3"/>
    </row>
    <row r="774" spans="5:5" ht="14.5" x14ac:dyDescent="0.35">
      <c r="E774" s="3"/>
    </row>
    <row r="775" spans="5:5" ht="14.5" x14ac:dyDescent="0.35">
      <c r="E775" s="3"/>
    </row>
    <row r="776" spans="5:5" ht="14.5" x14ac:dyDescent="0.35">
      <c r="E776" s="3"/>
    </row>
    <row r="777" spans="5:5" ht="14.5" x14ac:dyDescent="0.35">
      <c r="E777" s="3"/>
    </row>
    <row r="778" spans="5:5" ht="14.5" x14ac:dyDescent="0.35">
      <c r="E778" s="3"/>
    </row>
    <row r="779" spans="5:5" ht="14.5" x14ac:dyDescent="0.35">
      <c r="E779" s="3"/>
    </row>
    <row r="780" spans="5:5" ht="14.5" x14ac:dyDescent="0.35">
      <c r="E780" s="3"/>
    </row>
    <row r="781" spans="5:5" ht="14.5" x14ac:dyDescent="0.35">
      <c r="E781" s="3"/>
    </row>
    <row r="782" spans="5:5" ht="14.5" x14ac:dyDescent="0.35">
      <c r="E782" s="3"/>
    </row>
    <row r="783" spans="5:5" ht="14.5" x14ac:dyDescent="0.35">
      <c r="E783" s="3"/>
    </row>
    <row r="784" spans="5:5" ht="14.5" x14ac:dyDescent="0.35">
      <c r="E784" s="3"/>
    </row>
    <row r="785" spans="5:5" ht="14.5" x14ac:dyDescent="0.35">
      <c r="E785" s="3"/>
    </row>
    <row r="786" spans="5:5" ht="14.5" x14ac:dyDescent="0.35">
      <c r="E786" s="3"/>
    </row>
    <row r="787" spans="5:5" ht="14.5" x14ac:dyDescent="0.35">
      <c r="E787" s="3"/>
    </row>
    <row r="788" spans="5:5" ht="14.5" x14ac:dyDescent="0.35">
      <c r="E788" s="3"/>
    </row>
    <row r="789" spans="5:5" ht="14.5" x14ac:dyDescent="0.35">
      <c r="E789" s="3"/>
    </row>
    <row r="790" spans="5:5" ht="14.5" x14ac:dyDescent="0.35">
      <c r="E790" s="3"/>
    </row>
    <row r="791" spans="5:5" ht="14.5" x14ac:dyDescent="0.35">
      <c r="E791" s="3"/>
    </row>
    <row r="792" spans="5:5" ht="14.5" x14ac:dyDescent="0.35">
      <c r="E792" s="3"/>
    </row>
    <row r="793" spans="5:5" ht="14.5" x14ac:dyDescent="0.35">
      <c r="E793" s="3"/>
    </row>
    <row r="794" spans="5:5" ht="14.5" x14ac:dyDescent="0.35">
      <c r="E794" s="3"/>
    </row>
    <row r="795" spans="5:5" ht="14.5" x14ac:dyDescent="0.35">
      <c r="E795" s="3"/>
    </row>
    <row r="796" spans="5:5" ht="14.5" x14ac:dyDescent="0.35">
      <c r="E796" s="3"/>
    </row>
    <row r="797" spans="5:5" ht="14.5" x14ac:dyDescent="0.35">
      <c r="E797" s="3"/>
    </row>
    <row r="798" spans="5:5" ht="14.5" x14ac:dyDescent="0.35">
      <c r="E798" s="3"/>
    </row>
    <row r="799" spans="5:5" ht="14.5" x14ac:dyDescent="0.35">
      <c r="E799" s="3"/>
    </row>
    <row r="800" spans="5:5" ht="14.5" x14ac:dyDescent="0.35">
      <c r="E800" s="3"/>
    </row>
    <row r="801" spans="5:5" ht="14.5" x14ac:dyDescent="0.35">
      <c r="E801" s="3"/>
    </row>
    <row r="802" spans="5:5" ht="14.5" x14ac:dyDescent="0.35">
      <c r="E802" s="3"/>
    </row>
    <row r="803" spans="5:5" ht="14.5" x14ac:dyDescent="0.35">
      <c r="E803" s="3"/>
    </row>
    <row r="804" spans="5:5" ht="14.5" x14ac:dyDescent="0.35">
      <c r="E804" s="3"/>
    </row>
    <row r="805" spans="5:5" ht="14.5" x14ac:dyDescent="0.35">
      <c r="E805" s="3"/>
    </row>
    <row r="806" spans="5:5" ht="14.5" x14ac:dyDescent="0.35">
      <c r="E806" s="3"/>
    </row>
    <row r="807" spans="5:5" ht="14.5" x14ac:dyDescent="0.35">
      <c r="E807" s="3"/>
    </row>
    <row r="808" spans="5:5" ht="14.5" x14ac:dyDescent="0.35">
      <c r="E808" s="3"/>
    </row>
    <row r="809" spans="5:5" ht="14.5" x14ac:dyDescent="0.35">
      <c r="E809" s="3"/>
    </row>
    <row r="810" spans="5:5" ht="14.5" x14ac:dyDescent="0.35">
      <c r="E810" s="3"/>
    </row>
    <row r="811" spans="5:5" ht="14.5" x14ac:dyDescent="0.35">
      <c r="E811" s="3"/>
    </row>
    <row r="812" spans="5:5" ht="14.5" x14ac:dyDescent="0.35">
      <c r="E812" s="3"/>
    </row>
    <row r="813" spans="5:5" ht="14.5" x14ac:dyDescent="0.35">
      <c r="E813" s="3"/>
    </row>
    <row r="814" spans="5:5" ht="14.5" x14ac:dyDescent="0.35">
      <c r="E814" s="3"/>
    </row>
    <row r="815" spans="5:5" ht="14.5" x14ac:dyDescent="0.35">
      <c r="E815" s="3"/>
    </row>
    <row r="816" spans="5:5" ht="14.5" x14ac:dyDescent="0.35">
      <c r="E816" s="3"/>
    </row>
    <row r="817" spans="5:5" ht="14.5" x14ac:dyDescent="0.35">
      <c r="E817" s="3"/>
    </row>
    <row r="818" spans="5:5" ht="14.5" x14ac:dyDescent="0.35">
      <c r="E818" s="3"/>
    </row>
    <row r="819" spans="5:5" ht="14.5" x14ac:dyDescent="0.35">
      <c r="E819" s="3"/>
    </row>
    <row r="820" spans="5:5" ht="14.5" x14ac:dyDescent="0.35">
      <c r="E820" s="3"/>
    </row>
    <row r="821" spans="5:5" ht="14.5" x14ac:dyDescent="0.35">
      <c r="E821" s="3"/>
    </row>
    <row r="822" spans="5:5" ht="14.5" x14ac:dyDescent="0.35">
      <c r="E822" s="3"/>
    </row>
    <row r="823" spans="5:5" ht="14.5" x14ac:dyDescent="0.35">
      <c r="E823" s="3"/>
    </row>
    <row r="824" spans="5:5" ht="14.5" x14ac:dyDescent="0.35">
      <c r="E824" s="3"/>
    </row>
    <row r="825" spans="5:5" ht="14.5" x14ac:dyDescent="0.35">
      <c r="E825" s="3"/>
    </row>
    <row r="826" spans="5:5" ht="14.5" x14ac:dyDescent="0.35">
      <c r="E826" s="3"/>
    </row>
    <row r="827" spans="5:5" ht="14.5" x14ac:dyDescent="0.35">
      <c r="E827" s="3"/>
    </row>
    <row r="828" spans="5:5" ht="14.5" x14ac:dyDescent="0.35">
      <c r="E828" s="3"/>
    </row>
    <row r="829" spans="5:5" ht="14.5" x14ac:dyDescent="0.35">
      <c r="E829" s="3"/>
    </row>
    <row r="830" spans="5:5" ht="14.5" x14ac:dyDescent="0.35">
      <c r="E830" s="3"/>
    </row>
    <row r="831" spans="5:5" ht="14.5" x14ac:dyDescent="0.35">
      <c r="E831" s="3"/>
    </row>
    <row r="832" spans="5:5" ht="14.5" x14ac:dyDescent="0.35">
      <c r="E832" s="3"/>
    </row>
    <row r="833" spans="5:5" ht="14.5" x14ac:dyDescent="0.35">
      <c r="E833" s="3"/>
    </row>
    <row r="834" spans="5:5" ht="14.5" x14ac:dyDescent="0.35">
      <c r="E834" s="3"/>
    </row>
    <row r="835" spans="5:5" ht="14.5" x14ac:dyDescent="0.35">
      <c r="E835" s="3"/>
    </row>
    <row r="836" spans="5:5" ht="14.5" x14ac:dyDescent="0.35">
      <c r="E836" s="3"/>
    </row>
    <row r="837" spans="5:5" ht="14.5" x14ac:dyDescent="0.35">
      <c r="E837" s="3"/>
    </row>
    <row r="838" spans="5:5" ht="14.5" x14ac:dyDescent="0.35">
      <c r="E838" s="3"/>
    </row>
    <row r="839" spans="5:5" ht="14.5" x14ac:dyDescent="0.35">
      <c r="E839" s="3"/>
    </row>
    <row r="840" spans="5:5" ht="14.5" x14ac:dyDescent="0.35">
      <c r="E840" s="3"/>
    </row>
    <row r="841" spans="5:5" ht="14.5" x14ac:dyDescent="0.35">
      <c r="E841" s="3"/>
    </row>
    <row r="842" spans="5:5" ht="14.5" x14ac:dyDescent="0.35">
      <c r="E842" s="3"/>
    </row>
    <row r="843" spans="5:5" ht="14.5" x14ac:dyDescent="0.35">
      <c r="E843" s="3"/>
    </row>
    <row r="844" spans="5:5" ht="14.5" x14ac:dyDescent="0.35">
      <c r="E844" s="3"/>
    </row>
    <row r="845" spans="5:5" ht="14.5" x14ac:dyDescent="0.35">
      <c r="E845" s="3"/>
    </row>
    <row r="846" spans="5:5" ht="14.5" x14ac:dyDescent="0.35">
      <c r="E846" s="3"/>
    </row>
    <row r="847" spans="5:5" ht="14.5" x14ac:dyDescent="0.35">
      <c r="E847" s="3"/>
    </row>
    <row r="848" spans="5:5" ht="14.5" x14ac:dyDescent="0.35">
      <c r="E848" s="3"/>
    </row>
    <row r="849" spans="5:5" ht="14.5" x14ac:dyDescent="0.35">
      <c r="E849" s="3"/>
    </row>
    <row r="850" spans="5:5" ht="14.5" x14ac:dyDescent="0.35">
      <c r="E850" s="3"/>
    </row>
    <row r="851" spans="5:5" ht="14.5" x14ac:dyDescent="0.35">
      <c r="E851" s="3"/>
    </row>
    <row r="852" spans="5:5" ht="14.5" x14ac:dyDescent="0.35">
      <c r="E852" s="3"/>
    </row>
    <row r="853" spans="5:5" ht="14.5" x14ac:dyDescent="0.35">
      <c r="E853" s="3"/>
    </row>
    <row r="854" spans="5:5" ht="14.5" x14ac:dyDescent="0.35">
      <c r="E854" s="3"/>
    </row>
    <row r="855" spans="5:5" ht="14.5" x14ac:dyDescent="0.35">
      <c r="E855" s="3"/>
    </row>
    <row r="856" spans="5:5" ht="14.5" x14ac:dyDescent="0.35">
      <c r="E856" s="3"/>
    </row>
    <row r="857" spans="5:5" ht="14.5" x14ac:dyDescent="0.35">
      <c r="E857" s="3"/>
    </row>
    <row r="858" spans="5:5" ht="14.5" x14ac:dyDescent="0.35">
      <c r="E858" s="3"/>
    </row>
    <row r="859" spans="5:5" ht="14.5" x14ac:dyDescent="0.35">
      <c r="E859" s="3"/>
    </row>
    <row r="860" spans="5:5" ht="14.5" x14ac:dyDescent="0.35">
      <c r="E860" s="3"/>
    </row>
    <row r="861" spans="5:5" ht="14.5" x14ac:dyDescent="0.35">
      <c r="E861" s="3"/>
    </row>
    <row r="862" spans="5:5" ht="14.5" x14ac:dyDescent="0.35">
      <c r="E862" s="3"/>
    </row>
    <row r="863" spans="5:5" ht="14.5" x14ac:dyDescent="0.35">
      <c r="E863" s="3"/>
    </row>
    <row r="864" spans="5:5" ht="14.5" x14ac:dyDescent="0.35">
      <c r="E864" s="3"/>
    </row>
    <row r="865" spans="5:5" ht="14.5" x14ac:dyDescent="0.35">
      <c r="E865" s="3"/>
    </row>
    <row r="866" spans="5:5" ht="14.5" x14ac:dyDescent="0.35">
      <c r="E866" s="3"/>
    </row>
    <row r="867" spans="5:5" ht="14.5" x14ac:dyDescent="0.35">
      <c r="E867" s="3"/>
    </row>
    <row r="868" spans="5:5" ht="14.5" x14ac:dyDescent="0.35">
      <c r="E868" s="3"/>
    </row>
    <row r="869" spans="5:5" ht="14.5" x14ac:dyDescent="0.35">
      <c r="E869" s="3"/>
    </row>
    <row r="870" spans="5:5" ht="14.5" x14ac:dyDescent="0.35">
      <c r="E870" s="3"/>
    </row>
    <row r="871" spans="5:5" ht="14.5" x14ac:dyDescent="0.35">
      <c r="E871" s="3"/>
    </row>
    <row r="872" spans="5:5" ht="14.5" x14ac:dyDescent="0.35">
      <c r="E872" s="3"/>
    </row>
    <row r="873" spans="5:5" ht="14.5" x14ac:dyDescent="0.35">
      <c r="E873" s="3"/>
    </row>
    <row r="874" spans="5:5" ht="14.5" x14ac:dyDescent="0.35">
      <c r="E874" s="3"/>
    </row>
    <row r="875" spans="5:5" ht="14.5" x14ac:dyDescent="0.35">
      <c r="E875" s="3"/>
    </row>
    <row r="876" spans="5:5" ht="14.5" x14ac:dyDescent="0.35">
      <c r="E876" s="3"/>
    </row>
    <row r="877" spans="5:5" ht="14.5" x14ac:dyDescent="0.35">
      <c r="E877" s="3"/>
    </row>
    <row r="878" spans="5:5" ht="14.5" x14ac:dyDescent="0.35">
      <c r="E878" s="3"/>
    </row>
    <row r="879" spans="5:5" ht="14.5" x14ac:dyDescent="0.35">
      <c r="E879" s="3"/>
    </row>
    <row r="880" spans="5:5" ht="14.5" x14ac:dyDescent="0.35">
      <c r="E880" s="3"/>
    </row>
    <row r="881" spans="5:5" ht="14.5" x14ac:dyDescent="0.35">
      <c r="E881" s="3"/>
    </row>
    <row r="882" spans="5:5" ht="14.5" x14ac:dyDescent="0.35">
      <c r="E882" s="3"/>
    </row>
    <row r="883" spans="5:5" ht="14.5" x14ac:dyDescent="0.35">
      <c r="E883" s="3"/>
    </row>
    <row r="884" spans="5:5" ht="14.5" x14ac:dyDescent="0.35">
      <c r="E884" s="3"/>
    </row>
    <row r="885" spans="5:5" ht="14.5" x14ac:dyDescent="0.35">
      <c r="E885" s="3"/>
    </row>
    <row r="886" spans="5:5" ht="14.5" x14ac:dyDescent="0.35">
      <c r="E886" s="3"/>
    </row>
    <row r="887" spans="5:5" ht="14.5" x14ac:dyDescent="0.35">
      <c r="E887" s="3"/>
    </row>
    <row r="888" spans="5:5" ht="14.5" x14ac:dyDescent="0.35">
      <c r="E888" s="3"/>
    </row>
    <row r="889" spans="5:5" ht="14.5" x14ac:dyDescent="0.35">
      <c r="E889" s="3"/>
    </row>
    <row r="890" spans="5:5" ht="14.5" x14ac:dyDescent="0.35">
      <c r="E890" s="3"/>
    </row>
    <row r="891" spans="5:5" ht="14.5" x14ac:dyDescent="0.35">
      <c r="E891" s="3"/>
    </row>
    <row r="892" spans="5:5" ht="14.5" x14ac:dyDescent="0.35">
      <c r="E892" s="3"/>
    </row>
    <row r="893" spans="5:5" ht="14.5" x14ac:dyDescent="0.35">
      <c r="E893" s="3"/>
    </row>
    <row r="894" spans="5:5" ht="14.5" x14ac:dyDescent="0.35">
      <c r="E894" s="3"/>
    </row>
    <row r="895" spans="5:5" ht="14.5" x14ac:dyDescent="0.35">
      <c r="E895" s="3"/>
    </row>
    <row r="896" spans="5:5" ht="14.5" x14ac:dyDescent="0.35">
      <c r="E896" s="3"/>
    </row>
    <row r="897" spans="5:5" ht="14.5" x14ac:dyDescent="0.35">
      <c r="E897" s="3"/>
    </row>
    <row r="898" spans="5:5" ht="14.5" x14ac:dyDescent="0.35">
      <c r="E898" s="3"/>
    </row>
    <row r="899" spans="5:5" ht="14.5" x14ac:dyDescent="0.35">
      <c r="E899" s="3"/>
    </row>
    <row r="900" spans="5:5" ht="14.5" x14ac:dyDescent="0.35">
      <c r="E900" s="3"/>
    </row>
    <row r="901" spans="5:5" ht="14.5" x14ac:dyDescent="0.35">
      <c r="E901" s="3"/>
    </row>
    <row r="902" spans="5:5" ht="14.5" x14ac:dyDescent="0.35">
      <c r="E902" s="3"/>
    </row>
    <row r="903" spans="5:5" ht="14.5" x14ac:dyDescent="0.35">
      <c r="E903" s="3"/>
    </row>
    <row r="904" spans="5:5" ht="14.5" x14ac:dyDescent="0.35">
      <c r="E904" s="3"/>
    </row>
    <row r="905" spans="5:5" ht="14.5" x14ac:dyDescent="0.35">
      <c r="E905" s="3"/>
    </row>
    <row r="906" spans="5:5" ht="14.5" x14ac:dyDescent="0.35">
      <c r="E906" s="3"/>
    </row>
    <row r="907" spans="5:5" ht="14.5" x14ac:dyDescent="0.35">
      <c r="E907" s="3"/>
    </row>
    <row r="908" spans="5:5" ht="14.5" x14ac:dyDescent="0.35">
      <c r="E908" s="3"/>
    </row>
    <row r="909" spans="5:5" ht="14.5" x14ac:dyDescent="0.35">
      <c r="E909" s="3"/>
    </row>
    <row r="910" spans="5:5" ht="14.5" x14ac:dyDescent="0.35">
      <c r="E910" s="3"/>
    </row>
    <row r="911" spans="5:5" ht="14.5" x14ac:dyDescent="0.35">
      <c r="E911" s="3"/>
    </row>
    <row r="912" spans="5:5" ht="14.5" x14ac:dyDescent="0.35">
      <c r="E912" s="3"/>
    </row>
    <row r="913" spans="5:5" ht="14.5" x14ac:dyDescent="0.35">
      <c r="E913" s="3"/>
    </row>
    <row r="914" spans="5:5" ht="14.5" x14ac:dyDescent="0.35">
      <c r="E914" s="3"/>
    </row>
    <row r="915" spans="5:5" ht="14.5" x14ac:dyDescent="0.35">
      <c r="E915" s="3"/>
    </row>
    <row r="916" spans="5:5" ht="14.5" x14ac:dyDescent="0.35">
      <c r="E916" s="3"/>
    </row>
    <row r="917" spans="5:5" ht="14.5" x14ac:dyDescent="0.35">
      <c r="E917" s="3"/>
    </row>
    <row r="918" spans="5:5" ht="14.5" x14ac:dyDescent="0.35">
      <c r="E918" s="3"/>
    </row>
    <row r="919" spans="5:5" ht="14.5" x14ac:dyDescent="0.35">
      <c r="E919" s="3"/>
    </row>
    <row r="920" spans="5:5" ht="14.5" x14ac:dyDescent="0.35">
      <c r="E920" s="3"/>
    </row>
    <row r="921" spans="5:5" ht="14.5" x14ac:dyDescent="0.35">
      <c r="E921" s="3"/>
    </row>
    <row r="922" spans="5:5" ht="14.5" x14ac:dyDescent="0.35">
      <c r="E922" s="3"/>
    </row>
    <row r="923" spans="5:5" ht="14.5" x14ac:dyDescent="0.35">
      <c r="E923" s="3"/>
    </row>
    <row r="924" spans="5:5" ht="14.5" x14ac:dyDescent="0.35">
      <c r="E924" s="3"/>
    </row>
    <row r="925" spans="5:5" ht="14.5" x14ac:dyDescent="0.35">
      <c r="E925" s="3"/>
    </row>
    <row r="926" spans="5:5" ht="14.5" x14ac:dyDescent="0.35">
      <c r="E926" s="3"/>
    </row>
    <row r="927" spans="5:5" ht="14.5" x14ac:dyDescent="0.35">
      <c r="E927" s="3"/>
    </row>
    <row r="928" spans="5:5" ht="14.5" x14ac:dyDescent="0.35">
      <c r="E928" s="3"/>
    </row>
    <row r="929" spans="5:5" ht="14.5" x14ac:dyDescent="0.35">
      <c r="E929" s="3"/>
    </row>
    <row r="930" spans="5:5" ht="14.5" x14ac:dyDescent="0.35">
      <c r="E930" s="3"/>
    </row>
    <row r="931" spans="5:5" ht="14.5" x14ac:dyDescent="0.35">
      <c r="E931" s="3"/>
    </row>
    <row r="932" spans="5:5" ht="14.5" x14ac:dyDescent="0.35">
      <c r="E932" s="3"/>
    </row>
    <row r="933" spans="5:5" ht="14.5" x14ac:dyDescent="0.35">
      <c r="E933" s="3"/>
    </row>
    <row r="934" spans="5:5" ht="14.5" x14ac:dyDescent="0.35">
      <c r="E934" s="3"/>
    </row>
    <row r="935" spans="5:5" ht="14.5" x14ac:dyDescent="0.35">
      <c r="E935" s="3"/>
    </row>
    <row r="936" spans="5:5" ht="14.5" x14ac:dyDescent="0.35">
      <c r="E936" s="3"/>
    </row>
    <row r="937" spans="5:5" ht="14.5" x14ac:dyDescent="0.35">
      <c r="E937" s="3"/>
    </row>
    <row r="938" spans="5:5" ht="14.5" x14ac:dyDescent="0.35">
      <c r="E938" s="3"/>
    </row>
    <row r="939" spans="5:5" ht="14.5" x14ac:dyDescent="0.35">
      <c r="E939" s="3"/>
    </row>
    <row r="940" spans="5:5" ht="14.5" x14ac:dyDescent="0.35">
      <c r="E940" s="3"/>
    </row>
    <row r="941" spans="5:5" ht="14.5" x14ac:dyDescent="0.35">
      <c r="E941" s="3"/>
    </row>
    <row r="942" spans="5:5" ht="14.5" x14ac:dyDescent="0.35">
      <c r="E942" s="3"/>
    </row>
    <row r="943" spans="5:5" ht="14.5" x14ac:dyDescent="0.35">
      <c r="E943" s="3"/>
    </row>
    <row r="944" spans="5:5" ht="14.5" x14ac:dyDescent="0.35">
      <c r="E944" s="3"/>
    </row>
    <row r="945" spans="5:5" ht="14.5" x14ac:dyDescent="0.35">
      <c r="E945" s="3"/>
    </row>
    <row r="946" spans="5:5" ht="14.5" x14ac:dyDescent="0.35">
      <c r="E946" s="3"/>
    </row>
    <row r="947" spans="5:5" ht="14.5" x14ac:dyDescent="0.35">
      <c r="E947" s="3"/>
    </row>
    <row r="948" spans="5:5" ht="14.5" x14ac:dyDescent="0.35">
      <c r="E948" s="3"/>
    </row>
    <row r="949" spans="5:5" ht="14.5" x14ac:dyDescent="0.35">
      <c r="E949" s="3"/>
    </row>
    <row r="950" spans="5:5" ht="14.5" x14ac:dyDescent="0.35">
      <c r="E950" s="3"/>
    </row>
    <row r="951" spans="5:5" ht="14.5" x14ac:dyDescent="0.35">
      <c r="E951" s="3"/>
    </row>
    <row r="952" spans="5:5" ht="14.5" x14ac:dyDescent="0.35">
      <c r="E952" s="3"/>
    </row>
    <row r="953" spans="5:5" ht="14.5" x14ac:dyDescent="0.35">
      <c r="E953" s="3"/>
    </row>
    <row r="954" spans="5:5" ht="14.5" x14ac:dyDescent="0.35">
      <c r="E954" s="3"/>
    </row>
    <row r="955" spans="5:5" ht="14.5" x14ac:dyDescent="0.35">
      <c r="E955" s="3"/>
    </row>
    <row r="956" spans="5:5" ht="14.5" x14ac:dyDescent="0.35">
      <c r="E956" s="3"/>
    </row>
    <row r="957" spans="5:5" ht="14.5" x14ac:dyDescent="0.35">
      <c r="E957" s="3"/>
    </row>
    <row r="958" spans="5:5" ht="14.5" x14ac:dyDescent="0.35">
      <c r="E958" s="3"/>
    </row>
    <row r="959" spans="5:5" ht="14.5" x14ac:dyDescent="0.35">
      <c r="E959" s="3"/>
    </row>
    <row r="960" spans="5:5" ht="14.5" x14ac:dyDescent="0.35">
      <c r="E960" s="3"/>
    </row>
    <row r="961" spans="5:5" ht="14.5" x14ac:dyDescent="0.35">
      <c r="E961" s="3"/>
    </row>
    <row r="962" spans="5:5" ht="14.5" x14ac:dyDescent="0.35">
      <c r="E962" s="3"/>
    </row>
    <row r="963" spans="5:5" ht="14.5" x14ac:dyDescent="0.35">
      <c r="E963" s="3"/>
    </row>
    <row r="964" spans="5:5" ht="14.5" x14ac:dyDescent="0.35">
      <c r="E964" s="3"/>
    </row>
    <row r="965" spans="5:5" ht="14.5" x14ac:dyDescent="0.35">
      <c r="E965" s="3"/>
    </row>
    <row r="966" spans="5:5" ht="14.5" x14ac:dyDescent="0.35">
      <c r="E966" s="3"/>
    </row>
    <row r="967" spans="5:5" ht="14.5" x14ac:dyDescent="0.35">
      <c r="E967" s="3"/>
    </row>
    <row r="968" spans="5:5" ht="14.5" x14ac:dyDescent="0.35">
      <c r="E968" s="3"/>
    </row>
    <row r="969" spans="5:5" ht="14.5" x14ac:dyDescent="0.35">
      <c r="E969" s="3"/>
    </row>
    <row r="970" spans="5:5" ht="14.5" x14ac:dyDescent="0.35">
      <c r="E970" s="3"/>
    </row>
    <row r="971" spans="5:5" ht="14.5" x14ac:dyDescent="0.35">
      <c r="E971" s="3"/>
    </row>
    <row r="972" spans="5:5" ht="14.5" x14ac:dyDescent="0.35">
      <c r="E972" s="3"/>
    </row>
    <row r="973" spans="5:5" ht="14.5" x14ac:dyDescent="0.35">
      <c r="E973" s="3"/>
    </row>
    <row r="974" spans="5:5" ht="14.5" x14ac:dyDescent="0.35">
      <c r="E974" s="3"/>
    </row>
    <row r="975" spans="5:5" ht="14.5" x14ac:dyDescent="0.35">
      <c r="E975" s="3"/>
    </row>
    <row r="976" spans="5:5" ht="14.5" x14ac:dyDescent="0.35">
      <c r="E976" s="3"/>
    </row>
    <row r="977" spans="5:5" ht="14.5" x14ac:dyDescent="0.35">
      <c r="E977" s="3"/>
    </row>
    <row r="978" spans="5:5" ht="14.5" x14ac:dyDescent="0.35">
      <c r="E978" s="3"/>
    </row>
    <row r="979" spans="5:5" ht="14.5" x14ac:dyDescent="0.35">
      <c r="E979" s="3"/>
    </row>
    <row r="980" spans="5:5" ht="14.5" x14ac:dyDescent="0.35">
      <c r="E980" s="3"/>
    </row>
    <row r="981" spans="5:5" ht="14.5" x14ac:dyDescent="0.35">
      <c r="E981" s="3"/>
    </row>
    <row r="982" spans="5:5" ht="14.5" x14ac:dyDescent="0.35">
      <c r="E982" s="3"/>
    </row>
    <row r="983" spans="5:5" ht="14.5" x14ac:dyDescent="0.35">
      <c r="E983" s="3"/>
    </row>
    <row r="984" spans="5:5" ht="14.5" x14ac:dyDescent="0.35">
      <c r="E984" s="3"/>
    </row>
    <row r="985" spans="5:5" ht="14.5" x14ac:dyDescent="0.35">
      <c r="E985" s="3"/>
    </row>
    <row r="986" spans="5:5" ht="14.5" x14ac:dyDescent="0.35">
      <c r="E986" s="3"/>
    </row>
    <row r="987" spans="5:5" ht="14.5" x14ac:dyDescent="0.35">
      <c r="E987" s="3"/>
    </row>
    <row r="988" spans="5:5" ht="14.5" x14ac:dyDescent="0.35">
      <c r="E988" s="3"/>
    </row>
    <row r="989" spans="5:5" ht="14.5" x14ac:dyDescent="0.35">
      <c r="E989" s="3"/>
    </row>
    <row r="990" spans="5:5" ht="15" customHeight="1" x14ac:dyDescent="0.35">
      <c r="E990" s="3"/>
    </row>
    <row r="991" spans="5:5" ht="15" customHeight="1" x14ac:dyDescent="0.35">
      <c r="E991" s="3"/>
    </row>
    <row r="992" spans="5:5" ht="15" customHeight="1" x14ac:dyDescent="0.35">
      <c r="E992" s="3"/>
    </row>
    <row r="993" spans="5:5" ht="15" customHeight="1" x14ac:dyDescent="0.35">
      <c r="E993" s="3"/>
    </row>
    <row r="994" spans="5:5" ht="15" customHeight="1" x14ac:dyDescent="0.35">
      <c r="E994" s="3"/>
    </row>
    <row r="995" spans="5:5" ht="15" customHeight="1" x14ac:dyDescent="0.35">
      <c r="E995" s="3"/>
    </row>
    <row r="996" spans="5:5" ht="15" customHeight="1" x14ac:dyDescent="0.35">
      <c r="E996" s="3"/>
    </row>
    <row r="997" spans="5:5" ht="15" customHeight="1" x14ac:dyDescent="0.35">
      <c r="E997" s="3"/>
    </row>
    <row r="998" spans="5:5" ht="15" customHeight="1" x14ac:dyDescent="0.35">
      <c r="E998" s="3"/>
    </row>
    <row r="999" spans="5:5" ht="15" customHeight="1" x14ac:dyDescent="0.35">
      <c r="E999" s="3"/>
    </row>
    <row r="1000" spans="5:5" ht="15" customHeight="1" x14ac:dyDescent="0.35">
      <c r="E1000" s="3"/>
    </row>
    <row r="1001" spans="5:5" ht="15" customHeight="1" x14ac:dyDescent="0.35">
      <c r="E1001" s="3"/>
    </row>
    <row r="1002" spans="5:5" ht="15" customHeight="1" x14ac:dyDescent="0.35">
      <c r="E1002" s="3"/>
    </row>
    <row r="1003" spans="5:5" ht="15" customHeight="1" x14ac:dyDescent="0.35">
      <c r="E1003" s="3"/>
    </row>
    <row r="1004" spans="5:5" ht="15" customHeight="1" x14ac:dyDescent="0.35">
      <c r="E1004" s="3"/>
    </row>
    <row r="1005" spans="5:5" ht="15" customHeight="1" x14ac:dyDescent="0.35">
      <c r="E1005" s="3"/>
    </row>
    <row r="1006" spans="5:5" ht="15" customHeight="1" x14ac:dyDescent="0.35">
      <c r="E1006" s="3"/>
    </row>
    <row r="1007" spans="5:5" ht="15" customHeight="1" x14ac:dyDescent="0.35">
      <c r="E1007" s="3"/>
    </row>
    <row r="1008" spans="5:5" ht="15" customHeight="1" x14ac:dyDescent="0.35">
      <c r="E1008" s="3"/>
    </row>
    <row r="1009" spans="5:5" ht="15" customHeight="1" x14ac:dyDescent="0.35">
      <c r="E1009" s="3"/>
    </row>
    <row r="1010" spans="5:5" ht="15" customHeight="1" x14ac:dyDescent="0.35">
      <c r="E1010" s="3"/>
    </row>
    <row r="1011" spans="5:5" ht="15" customHeight="1" x14ac:dyDescent="0.35">
      <c r="E1011" s="3"/>
    </row>
    <row r="1012" spans="5:5" ht="15" customHeight="1" x14ac:dyDescent="0.35">
      <c r="E1012" s="3"/>
    </row>
    <row r="1013" spans="5:5" ht="15" customHeight="1" x14ac:dyDescent="0.35">
      <c r="E1013" s="3"/>
    </row>
    <row r="1014" spans="5:5" ht="15" customHeight="1" x14ac:dyDescent="0.35">
      <c r="E1014" s="3"/>
    </row>
    <row r="1015" spans="5:5" ht="15" customHeight="1" x14ac:dyDescent="0.35">
      <c r="E1015" s="3"/>
    </row>
    <row r="1016" spans="5:5" ht="15" customHeight="1" x14ac:dyDescent="0.35">
      <c r="E1016" s="3"/>
    </row>
    <row r="1017" spans="5:5" ht="15" customHeight="1" x14ac:dyDescent="0.35">
      <c r="E1017" s="3"/>
    </row>
    <row r="1018" spans="5:5" ht="15" customHeight="1" x14ac:dyDescent="0.35">
      <c r="E1018" s="3"/>
    </row>
    <row r="1019" spans="5:5" ht="15" customHeight="1" x14ac:dyDescent="0.35">
      <c r="E1019" s="3"/>
    </row>
    <row r="1020" spans="5:5" ht="15" customHeight="1" x14ac:dyDescent="0.35">
      <c r="E1020" s="3"/>
    </row>
    <row r="1021" spans="5:5" ht="15" customHeight="1" x14ac:dyDescent="0.35">
      <c r="E1021" s="3"/>
    </row>
    <row r="1022" spans="5:5" ht="15" customHeight="1" x14ac:dyDescent="0.35">
      <c r="E1022" s="3"/>
    </row>
    <row r="1023" spans="5:5" ht="15" customHeight="1" x14ac:dyDescent="0.35">
      <c r="E1023" s="3"/>
    </row>
    <row r="1024" spans="5:5" ht="15" customHeight="1" x14ac:dyDescent="0.35">
      <c r="E1024" s="3"/>
    </row>
    <row r="1025" spans="5:5" ht="15" customHeight="1" x14ac:dyDescent="0.35">
      <c r="E1025" s="3"/>
    </row>
    <row r="1026" spans="5:5" ht="15" customHeight="1" x14ac:dyDescent="0.35">
      <c r="E1026" s="3"/>
    </row>
    <row r="1027" spans="5:5" ht="15" customHeight="1" x14ac:dyDescent="0.35">
      <c r="E1027" s="3"/>
    </row>
    <row r="1028" spans="5:5" ht="15" customHeight="1" x14ac:dyDescent="0.35">
      <c r="E1028" s="3"/>
    </row>
    <row r="1029" spans="5:5" ht="15" customHeight="1" x14ac:dyDescent="0.35">
      <c r="E1029" s="3"/>
    </row>
    <row r="1030" spans="5:5" ht="15" customHeight="1" x14ac:dyDescent="0.35">
      <c r="E1030" s="3"/>
    </row>
    <row r="1031" spans="5:5" ht="15" customHeight="1" x14ac:dyDescent="0.35">
      <c r="E1031" s="3"/>
    </row>
    <row r="1032" spans="5:5" ht="15" customHeight="1" x14ac:dyDescent="0.35">
      <c r="E1032" s="3"/>
    </row>
    <row r="1033" spans="5:5" ht="15" customHeight="1" x14ac:dyDescent="0.35">
      <c r="E1033" s="3"/>
    </row>
    <row r="1034" spans="5:5" ht="15" customHeight="1" x14ac:dyDescent="0.35">
      <c r="E1034" s="3"/>
    </row>
    <row r="1035" spans="5:5" ht="15" customHeight="1" x14ac:dyDescent="0.35">
      <c r="E1035" s="3"/>
    </row>
    <row r="1036" spans="5:5" ht="15" customHeight="1" x14ac:dyDescent="0.35">
      <c r="E1036" s="3"/>
    </row>
    <row r="1037" spans="5:5" ht="15" customHeight="1" x14ac:dyDescent="0.35">
      <c r="E1037" s="3"/>
    </row>
    <row r="1038" spans="5:5" ht="15" customHeight="1" x14ac:dyDescent="0.35">
      <c r="E1038" s="3"/>
    </row>
    <row r="1039" spans="5:5" ht="15" customHeight="1" x14ac:dyDescent="0.35">
      <c r="E1039" s="3"/>
    </row>
    <row r="1040" spans="5:5" ht="15" customHeight="1" x14ac:dyDescent="0.35">
      <c r="E1040" s="3"/>
    </row>
    <row r="1041" spans="5:5" ht="15" customHeight="1" x14ac:dyDescent="0.35">
      <c r="E1041" s="3"/>
    </row>
    <row r="1042" spans="5:5" ht="15" customHeight="1" x14ac:dyDescent="0.35">
      <c r="E1042" s="3"/>
    </row>
    <row r="1043" spans="5:5" ht="15" customHeight="1" x14ac:dyDescent="0.35">
      <c r="E1043" s="3"/>
    </row>
    <row r="1044" spans="5:5" ht="15" customHeight="1" x14ac:dyDescent="0.35">
      <c r="E1044" s="3"/>
    </row>
    <row r="1045" spans="5:5" ht="15" customHeight="1" x14ac:dyDescent="0.35">
      <c r="E1045" s="3"/>
    </row>
    <row r="1046" spans="5:5" ht="15" customHeight="1" x14ac:dyDescent="0.35">
      <c r="E1046" s="3"/>
    </row>
    <row r="1047" spans="5:5" ht="15" customHeight="1" x14ac:dyDescent="0.35">
      <c r="E1047" s="3"/>
    </row>
    <row r="1048" spans="5:5" ht="15" customHeight="1" x14ac:dyDescent="0.35">
      <c r="E1048" s="3"/>
    </row>
    <row r="1049" spans="5:5" ht="15" customHeight="1" x14ac:dyDescent="0.35">
      <c r="E1049" s="3"/>
    </row>
    <row r="1050" spans="5:5" ht="15" customHeight="1" x14ac:dyDescent="0.35">
      <c r="E1050" s="3"/>
    </row>
    <row r="1051" spans="5:5" ht="15" customHeight="1" x14ac:dyDescent="0.35">
      <c r="E1051" s="3"/>
    </row>
    <row r="1052" spans="5:5" ht="15" customHeight="1" x14ac:dyDescent="0.35">
      <c r="E1052" s="3"/>
    </row>
    <row r="1053" spans="5:5" ht="15" customHeight="1" x14ac:dyDescent="0.35">
      <c r="E1053" s="3"/>
    </row>
    <row r="1054" spans="5:5" ht="15" customHeight="1" x14ac:dyDescent="0.35">
      <c r="E1054" s="3"/>
    </row>
    <row r="1055" spans="5:5" ht="15" customHeight="1" x14ac:dyDescent="0.35">
      <c r="E1055" s="3"/>
    </row>
    <row r="1056" spans="5:5" ht="15" customHeight="1" x14ac:dyDescent="0.35">
      <c r="E1056" s="3"/>
    </row>
    <row r="1057" spans="5:5" ht="15" customHeight="1" x14ac:dyDescent="0.35">
      <c r="E1057" s="3"/>
    </row>
    <row r="1058" spans="5:5" ht="15" customHeight="1" x14ac:dyDescent="0.35">
      <c r="E1058" s="3"/>
    </row>
    <row r="1059" spans="5:5" ht="15" customHeight="1" x14ac:dyDescent="0.35">
      <c r="E1059" s="3"/>
    </row>
    <row r="1060" spans="5:5" ht="15" customHeight="1" x14ac:dyDescent="0.35">
      <c r="E1060" s="3"/>
    </row>
    <row r="1061" spans="5:5" ht="15" customHeight="1" x14ac:dyDescent="0.35">
      <c r="E1061" s="3"/>
    </row>
    <row r="1062" spans="5:5" ht="15" customHeight="1" x14ac:dyDescent="0.35">
      <c r="E1062" s="3"/>
    </row>
    <row r="1063" spans="5:5" ht="15" customHeight="1" x14ac:dyDescent="0.35">
      <c r="E1063" s="3"/>
    </row>
    <row r="1064" spans="5:5" ht="15" customHeight="1" x14ac:dyDescent="0.35">
      <c r="E1064" s="3"/>
    </row>
    <row r="1065" spans="5:5" ht="15" customHeight="1" x14ac:dyDescent="0.35">
      <c r="E1065" s="3"/>
    </row>
    <row r="1066" spans="5:5" ht="15" customHeight="1" x14ac:dyDescent="0.35">
      <c r="E1066" s="3"/>
    </row>
    <row r="1067" spans="5:5" ht="15" customHeight="1" x14ac:dyDescent="0.35">
      <c r="E1067" s="3"/>
    </row>
    <row r="1068" spans="5:5" ht="15" customHeight="1" x14ac:dyDescent="0.35">
      <c r="E1068" s="3"/>
    </row>
    <row r="1069" spans="5:5" ht="15" customHeight="1" x14ac:dyDescent="0.35">
      <c r="E1069" s="3"/>
    </row>
    <row r="1070" spans="5:5" ht="15" customHeight="1" x14ac:dyDescent="0.35">
      <c r="E1070" s="3"/>
    </row>
    <row r="1071" spans="5:5" ht="15" customHeight="1" x14ac:dyDescent="0.35">
      <c r="E1071" s="3"/>
    </row>
    <row r="1072" spans="5:5" ht="15" customHeight="1" x14ac:dyDescent="0.35">
      <c r="E1072" s="3"/>
    </row>
    <row r="1073" spans="5:5" ht="15" customHeight="1" x14ac:dyDescent="0.35">
      <c r="E1073" s="3"/>
    </row>
    <row r="1074" spans="5:5" ht="15" customHeight="1" x14ac:dyDescent="0.35">
      <c r="E1074" s="3"/>
    </row>
    <row r="1075" spans="5:5" ht="15" customHeight="1" x14ac:dyDescent="0.35">
      <c r="E1075" s="3"/>
    </row>
    <row r="1076" spans="5:5" ht="15" customHeight="1" x14ac:dyDescent="0.35">
      <c r="E1076" s="3"/>
    </row>
    <row r="1077" spans="5:5" ht="15" customHeight="1" x14ac:dyDescent="0.35">
      <c r="E1077" s="3"/>
    </row>
    <row r="1078" spans="5:5" ht="15" customHeight="1" x14ac:dyDescent="0.35">
      <c r="E1078" s="3"/>
    </row>
    <row r="1079" spans="5:5" ht="15" customHeight="1" x14ac:dyDescent="0.35">
      <c r="E1079" s="3"/>
    </row>
    <row r="1080" spans="5:5" ht="15" customHeight="1" x14ac:dyDescent="0.35">
      <c r="E1080" s="3"/>
    </row>
    <row r="1081" spans="5:5" ht="15" customHeight="1" x14ac:dyDescent="0.35">
      <c r="E1081" s="3"/>
    </row>
    <row r="1082" spans="5:5" ht="15" customHeight="1" x14ac:dyDescent="0.35">
      <c r="E1082" s="3"/>
    </row>
    <row r="1083" spans="5:5" ht="15" customHeight="1" x14ac:dyDescent="0.35">
      <c r="E1083" s="3"/>
    </row>
    <row r="1084" spans="5:5" ht="15" customHeight="1" x14ac:dyDescent="0.35">
      <c r="E1084" s="3"/>
    </row>
    <row r="1085" spans="5:5" ht="15" customHeight="1" x14ac:dyDescent="0.35">
      <c r="E1085" s="3"/>
    </row>
    <row r="1086" spans="5:5" ht="15" customHeight="1" x14ac:dyDescent="0.35">
      <c r="E1086" s="3"/>
    </row>
    <row r="1087" spans="5:5" ht="15" customHeight="1" x14ac:dyDescent="0.35">
      <c r="E1087" s="3"/>
    </row>
    <row r="1088" spans="5:5" ht="15" customHeight="1" x14ac:dyDescent="0.35">
      <c r="E1088" s="3"/>
    </row>
    <row r="1089" spans="5:5" ht="15" customHeight="1" x14ac:dyDescent="0.35">
      <c r="E1089" s="3"/>
    </row>
    <row r="1090" spans="5:5" ht="15" customHeight="1" x14ac:dyDescent="0.35">
      <c r="E1090" s="3"/>
    </row>
    <row r="1091" spans="5:5" ht="15" customHeight="1" x14ac:dyDescent="0.35">
      <c r="E1091" s="3"/>
    </row>
    <row r="1092" spans="5:5" ht="15" customHeight="1" x14ac:dyDescent="0.35">
      <c r="E1092" s="3"/>
    </row>
    <row r="1093" spans="5:5" ht="15" customHeight="1" x14ac:dyDescent="0.35">
      <c r="E1093" s="3"/>
    </row>
    <row r="1094" spans="5:5" ht="15" customHeight="1" x14ac:dyDescent="0.35">
      <c r="E1094" s="3"/>
    </row>
    <row r="1095" spans="5:5" ht="15" customHeight="1" x14ac:dyDescent="0.35">
      <c r="E1095" s="3"/>
    </row>
    <row r="1096" spans="5:5" ht="15" customHeight="1" x14ac:dyDescent="0.35">
      <c r="E1096" s="3"/>
    </row>
    <row r="1097" spans="5:5" ht="15" customHeight="1" x14ac:dyDescent="0.35">
      <c r="E1097" s="3"/>
    </row>
    <row r="1098" spans="5:5" ht="15" customHeight="1" x14ac:dyDescent="0.35">
      <c r="E1098" s="3"/>
    </row>
    <row r="1099" spans="5:5" ht="15" customHeight="1" x14ac:dyDescent="0.35">
      <c r="E1099" s="3"/>
    </row>
    <row r="1100" spans="5:5" ht="15" customHeight="1" x14ac:dyDescent="0.35">
      <c r="E1100" s="3"/>
    </row>
    <row r="1101" spans="5:5" ht="15" customHeight="1" x14ac:dyDescent="0.35">
      <c r="E1101" s="3"/>
    </row>
    <row r="1102" spans="5:5" ht="15" customHeight="1" x14ac:dyDescent="0.35">
      <c r="E1102" s="3"/>
    </row>
    <row r="1103" spans="5:5" ht="15" customHeight="1" x14ac:dyDescent="0.35">
      <c r="E1103" s="3"/>
    </row>
    <row r="1104" spans="5:5" ht="15" customHeight="1" x14ac:dyDescent="0.35">
      <c r="E1104" s="3"/>
    </row>
    <row r="1105" spans="5:5" ht="15" customHeight="1" x14ac:dyDescent="0.35">
      <c r="E1105" s="3"/>
    </row>
    <row r="1106" spans="5:5" ht="15" customHeight="1" x14ac:dyDescent="0.35">
      <c r="E1106" s="3"/>
    </row>
    <row r="1107" spans="5:5" ht="15" customHeight="1" x14ac:dyDescent="0.35">
      <c r="E1107" s="3"/>
    </row>
    <row r="1108" spans="5:5" ht="15" customHeight="1" x14ac:dyDescent="0.35">
      <c r="E1108" s="3"/>
    </row>
    <row r="1109" spans="5:5" ht="15" customHeight="1" x14ac:dyDescent="0.35">
      <c r="E1109" s="3"/>
    </row>
    <row r="1110" spans="5:5" ht="15" customHeight="1" x14ac:dyDescent="0.35">
      <c r="E1110" s="3"/>
    </row>
    <row r="1111" spans="5:5" ht="15" customHeight="1" x14ac:dyDescent="0.35">
      <c r="E1111" s="3"/>
    </row>
    <row r="1112" spans="5:5" ht="15" customHeight="1" x14ac:dyDescent="0.35">
      <c r="E1112" s="3"/>
    </row>
    <row r="1113" spans="5:5" ht="15" customHeight="1" x14ac:dyDescent="0.35">
      <c r="E1113" s="3"/>
    </row>
    <row r="1114" spans="5:5" ht="15" customHeight="1" x14ac:dyDescent="0.35">
      <c r="E1114" s="3"/>
    </row>
    <row r="1115" spans="5:5" ht="15" customHeight="1" x14ac:dyDescent="0.35">
      <c r="E1115" s="3"/>
    </row>
    <row r="1116" spans="5:5" ht="15" customHeight="1" x14ac:dyDescent="0.35">
      <c r="E1116" s="3"/>
    </row>
    <row r="1117" spans="5:5" ht="15" customHeight="1" x14ac:dyDescent="0.35">
      <c r="E1117" s="3"/>
    </row>
    <row r="1118" spans="5:5" ht="15" customHeight="1" x14ac:dyDescent="0.35">
      <c r="E1118" s="3"/>
    </row>
    <row r="1119" spans="5:5" ht="15" customHeight="1" x14ac:dyDescent="0.35">
      <c r="E1119" s="3"/>
    </row>
    <row r="1120" spans="5:5" ht="15" customHeight="1" x14ac:dyDescent="0.35">
      <c r="E1120" s="3"/>
    </row>
    <row r="1121" spans="5:5" ht="15" customHeight="1" x14ac:dyDescent="0.35">
      <c r="E1121" s="3"/>
    </row>
    <row r="1122" spans="5:5" ht="15" customHeight="1" x14ac:dyDescent="0.35">
      <c r="E1122" s="3"/>
    </row>
    <row r="1123" spans="5:5" ht="15" customHeight="1" x14ac:dyDescent="0.35">
      <c r="E1123" s="3"/>
    </row>
    <row r="1124" spans="5:5" ht="15" customHeight="1" x14ac:dyDescent="0.35">
      <c r="E1124" s="3"/>
    </row>
    <row r="1125" spans="5:5" ht="15" customHeight="1" x14ac:dyDescent="0.35">
      <c r="E1125" s="3"/>
    </row>
    <row r="1126" spans="5:5" ht="15" customHeight="1" x14ac:dyDescent="0.35">
      <c r="E1126" s="3"/>
    </row>
    <row r="1127" spans="5:5" ht="15" customHeight="1" x14ac:dyDescent="0.35">
      <c r="E1127" s="3"/>
    </row>
    <row r="1128" spans="5:5" ht="15" customHeight="1" x14ac:dyDescent="0.35">
      <c r="E1128" s="3"/>
    </row>
    <row r="1129" spans="5:5" ht="15" customHeight="1" x14ac:dyDescent="0.35">
      <c r="E1129" s="3"/>
    </row>
    <row r="1130" spans="5:5" ht="15" customHeight="1" x14ac:dyDescent="0.35">
      <c r="E1130" s="3"/>
    </row>
    <row r="1131" spans="5:5" ht="15" customHeight="1" x14ac:dyDescent="0.35">
      <c r="E1131" s="3"/>
    </row>
    <row r="1132" spans="5:5" ht="15" customHeight="1" x14ac:dyDescent="0.35">
      <c r="E1132" s="3"/>
    </row>
    <row r="1133" spans="5:5" ht="15" customHeight="1" x14ac:dyDescent="0.35">
      <c r="E1133" s="3"/>
    </row>
    <row r="1134" spans="5:5" ht="15" customHeight="1" x14ac:dyDescent="0.35">
      <c r="E1134" s="3"/>
    </row>
    <row r="1135" spans="5:5" ht="15" customHeight="1" x14ac:dyDescent="0.35">
      <c r="E1135" s="3"/>
    </row>
    <row r="1136" spans="5:5" ht="15" customHeight="1" x14ac:dyDescent="0.35">
      <c r="E1136" s="3"/>
    </row>
    <row r="1137" spans="5:5" ht="15" customHeight="1" x14ac:dyDescent="0.35">
      <c r="E1137" s="3"/>
    </row>
    <row r="1138" spans="5:5" ht="15" customHeight="1" x14ac:dyDescent="0.35">
      <c r="E1138" s="3"/>
    </row>
    <row r="1139" spans="5:5" ht="15" customHeight="1" x14ac:dyDescent="0.35">
      <c r="E1139" s="3"/>
    </row>
    <row r="1140" spans="5:5" ht="15" customHeight="1" x14ac:dyDescent="0.35">
      <c r="E1140" s="3"/>
    </row>
    <row r="1141" spans="5:5" ht="15" customHeight="1" x14ac:dyDescent="0.35">
      <c r="E1141" s="3"/>
    </row>
    <row r="1142" spans="5:5" ht="15" customHeight="1" x14ac:dyDescent="0.35">
      <c r="E1142" s="3"/>
    </row>
    <row r="1143" spans="5:5" ht="15" customHeight="1" x14ac:dyDescent="0.35">
      <c r="E1143" s="3"/>
    </row>
    <row r="1144" spans="5:5" ht="15" customHeight="1" x14ac:dyDescent="0.35">
      <c r="E1144" s="3"/>
    </row>
    <row r="1145" spans="5:5" ht="15" customHeight="1" x14ac:dyDescent="0.35">
      <c r="E1145" s="3"/>
    </row>
    <row r="1146" spans="5:5" ht="15" customHeight="1" x14ac:dyDescent="0.35">
      <c r="E1146" s="3"/>
    </row>
    <row r="1147" spans="5:5" ht="15" customHeight="1" x14ac:dyDescent="0.35">
      <c r="E1147" s="3"/>
    </row>
    <row r="1148" spans="5:5" ht="15" customHeight="1" x14ac:dyDescent="0.35">
      <c r="E1148" s="3"/>
    </row>
    <row r="1149" spans="5:5" ht="15" customHeight="1" x14ac:dyDescent="0.35">
      <c r="E1149" s="3"/>
    </row>
    <row r="1150" spans="5:5" ht="15" customHeight="1" x14ac:dyDescent="0.35">
      <c r="E1150" s="3"/>
    </row>
    <row r="1151" spans="5:5" ht="15" customHeight="1" x14ac:dyDescent="0.35">
      <c r="E1151" s="3"/>
    </row>
    <row r="1152" spans="5:5" ht="15" customHeight="1" x14ac:dyDescent="0.35">
      <c r="E1152" s="3"/>
    </row>
    <row r="1153" spans="5:34" ht="15" customHeight="1" x14ac:dyDescent="0.35">
      <c r="E1153" s="3"/>
    </row>
    <row r="1154" spans="5:34" ht="15" customHeight="1" x14ac:dyDescent="0.35">
      <c r="E1154" s="3"/>
    </row>
    <row r="1155" spans="5:34" ht="15" customHeight="1" x14ac:dyDescent="0.35">
      <c r="E1155" s="3"/>
    </row>
    <row r="1156" spans="5:34" ht="15" customHeight="1" x14ac:dyDescent="0.35">
      <c r="E1156" s="3"/>
    </row>
    <row r="1157" spans="5:34" ht="15" customHeight="1" x14ac:dyDescent="0.35">
      <c r="E1157" s="3"/>
    </row>
    <row r="1158" spans="5:34" ht="15" customHeight="1" x14ac:dyDescent="0.35">
      <c r="E1158" s="3"/>
    </row>
    <row r="1159" spans="5:34" ht="15" customHeight="1" x14ac:dyDescent="0.35">
      <c r="E1159" s="3"/>
    </row>
    <row r="1160" spans="5:34" ht="15" customHeight="1" x14ac:dyDescent="0.35">
      <c r="E1160" s="3"/>
    </row>
    <row r="1161" spans="5:34" ht="15" customHeight="1" x14ac:dyDescent="0.35">
      <c r="E1161" s="3"/>
    </row>
    <row r="1162" spans="5:34" ht="15" customHeight="1" x14ac:dyDescent="0.35">
      <c r="E1162" s="3"/>
    </row>
    <row r="1163" spans="5:34" ht="15" customHeight="1" x14ac:dyDescent="0.35">
      <c r="E1163" s="3"/>
    </row>
    <row r="1164" spans="5:34" ht="15" customHeight="1" x14ac:dyDescent="0.35">
      <c r="AF1164" s="3"/>
      <c r="AH1164" s="9"/>
    </row>
    <row r="1165" spans="5:34" ht="15" customHeight="1" x14ac:dyDescent="0.35">
      <c r="AF1165" s="3"/>
      <c r="AH1165" s="9"/>
    </row>
    <row r="1166" spans="5:34" ht="15" customHeight="1" x14ac:dyDescent="0.35">
      <c r="AF1166" s="3"/>
      <c r="AH1166" s="9"/>
    </row>
    <row r="1167" spans="5:34" ht="15" customHeight="1" x14ac:dyDescent="0.35">
      <c r="AF1167" s="3"/>
      <c r="AH1167" s="9"/>
    </row>
    <row r="1168" spans="5:34" ht="15" customHeight="1" x14ac:dyDescent="0.35">
      <c r="AF1168" s="3"/>
      <c r="AH1168" s="9"/>
    </row>
    <row r="1169" spans="32:34" ht="15" customHeight="1" x14ac:dyDescent="0.35">
      <c r="AF1169" s="3"/>
      <c r="AH1169" s="9"/>
    </row>
    <row r="1170" spans="32:34" ht="15" customHeight="1" x14ac:dyDescent="0.35">
      <c r="AF1170" s="3"/>
      <c r="AH1170" s="9"/>
    </row>
    <row r="1171" spans="32:34" ht="15" customHeight="1" x14ac:dyDescent="0.35">
      <c r="AF1171" s="3"/>
      <c r="AH1171" s="9"/>
    </row>
    <row r="1172" spans="32:34" ht="15" customHeight="1" x14ac:dyDescent="0.35">
      <c r="AF1172" s="3"/>
      <c r="AH1172" s="9"/>
    </row>
    <row r="1173" spans="32:34" ht="15" customHeight="1" x14ac:dyDescent="0.35">
      <c r="AF1173" s="3"/>
      <c r="AH1173" s="9"/>
    </row>
    <row r="1174" spans="32:34" ht="15" customHeight="1" x14ac:dyDescent="0.35">
      <c r="AF1174" s="3"/>
      <c r="AH1174" s="9"/>
    </row>
    <row r="1175" spans="32:34" ht="15" customHeight="1" x14ac:dyDescent="0.35">
      <c r="AF1175" s="3"/>
      <c r="AH1175" s="9"/>
    </row>
    <row r="1176" spans="32:34" ht="15" customHeight="1" x14ac:dyDescent="0.35">
      <c r="AF1176" s="3"/>
      <c r="AH1176" s="9"/>
    </row>
    <row r="1177" spans="32:34" ht="15" customHeight="1" x14ac:dyDescent="0.35">
      <c r="AF1177" s="3"/>
      <c r="AH1177" s="9"/>
    </row>
    <row r="1178" spans="32:34" ht="15" customHeight="1" x14ac:dyDescent="0.35">
      <c r="AF1178" s="3"/>
      <c r="AH1178" s="9"/>
    </row>
    <row r="1179" spans="32:34" ht="15" customHeight="1" x14ac:dyDescent="0.35">
      <c r="AF1179" s="3"/>
      <c r="AH1179" s="9"/>
    </row>
    <row r="1180" spans="32:34" ht="15" customHeight="1" x14ac:dyDescent="0.35">
      <c r="AF1180" s="3"/>
      <c r="AH1180" s="9"/>
    </row>
    <row r="1181" spans="32:34" ht="15" customHeight="1" x14ac:dyDescent="0.35">
      <c r="AF1181" s="3"/>
      <c r="AH1181" s="9"/>
    </row>
    <row r="1182" spans="32:34" ht="15" customHeight="1" x14ac:dyDescent="0.35">
      <c r="AF1182" s="3"/>
      <c r="AH1182" s="9"/>
    </row>
    <row r="1183" spans="32:34" ht="15" customHeight="1" x14ac:dyDescent="0.35">
      <c r="AF1183" s="3"/>
      <c r="AH1183" s="9"/>
    </row>
    <row r="1184" spans="32:34" ht="15" customHeight="1" x14ac:dyDescent="0.35">
      <c r="AF1184" s="3"/>
      <c r="AH1184" s="9"/>
    </row>
    <row r="1185" spans="32:34" ht="15" customHeight="1" x14ac:dyDescent="0.35">
      <c r="AF1185" s="3"/>
      <c r="AH1185" s="9"/>
    </row>
    <row r="1186" spans="32:34" ht="15" customHeight="1" x14ac:dyDescent="0.35">
      <c r="AF1186" s="3"/>
      <c r="AH1186" s="9"/>
    </row>
    <row r="1187" spans="32:34" ht="15" customHeight="1" x14ac:dyDescent="0.35">
      <c r="AF1187" s="3"/>
      <c r="AH1187" s="9"/>
    </row>
    <row r="1188" spans="32:34" ht="15" customHeight="1" x14ac:dyDescent="0.35">
      <c r="AF1188" s="3"/>
      <c r="AH1188" s="9"/>
    </row>
    <row r="1189" spans="32:34" ht="15" customHeight="1" x14ac:dyDescent="0.35">
      <c r="AF1189" s="3"/>
      <c r="AH1189" s="9"/>
    </row>
    <row r="1190" spans="32:34" ht="15" customHeight="1" x14ac:dyDescent="0.35">
      <c r="AF1190" s="3"/>
      <c r="AH1190" s="9"/>
    </row>
    <row r="1191" spans="32:34" ht="15" customHeight="1" x14ac:dyDescent="0.35">
      <c r="AF1191" s="3"/>
      <c r="AH1191" s="9"/>
    </row>
    <row r="1192" spans="32:34" ht="15" customHeight="1" x14ac:dyDescent="0.35">
      <c r="AF1192" s="3"/>
      <c r="AH1192" s="9"/>
    </row>
    <row r="1193" spans="32:34" ht="15" customHeight="1" x14ac:dyDescent="0.35">
      <c r="AF1193" s="3"/>
      <c r="AH1193" s="9"/>
    </row>
    <row r="1194" spans="32:34" ht="15" customHeight="1" x14ac:dyDescent="0.35">
      <c r="AF1194" s="3"/>
      <c r="AH1194" s="9"/>
    </row>
    <row r="1195" spans="32:34" ht="15" customHeight="1" x14ac:dyDescent="0.35">
      <c r="AF1195" s="3"/>
      <c r="AH1195" s="9"/>
    </row>
    <row r="1196" spans="32:34" ht="15" customHeight="1" x14ac:dyDescent="0.35">
      <c r="AF1196" s="3"/>
      <c r="AH1196" s="9"/>
    </row>
    <row r="1197" spans="32:34" ht="15" customHeight="1" x14ac:dyDescent="0.35">
      <c r="AF1197" s="3"/>
      <c r="AH1197" s="9"/>
    </row>
    <row r="1198" spans="32:34" ht="15" customHeight="1" x14ac:dyDescent="0.35">
      <c r="AF1198" s="3"/>
      <c r="AH1198" s="9"/>
    </row>
    <row r="1199" spans="32:34" ht="15" customHeight="1" x14ac:dyDescent="0.35">
      <c r="AF1199" s="3"/>
      <c r="AH1199" s="9"/>
    </row>
    <row r="1200" spans="32:34" ht="15" customHeight="1" x14ac:dyDescent="0.35">
      <c r="AF1200" s="3"/>
      <c r="AH1200" s="9"/>
    </row>
    <row r="1201" spans="32:34" ht="15" customHeight="1" x14ac:dyDescent="0.35">
      <c r="AF1201" s="3"/>
      <c r="AH1201" s="9"/>
    </row>
    <row r="1202" spans="32:34" ht="15" customHeight="1" x14ac:dyDescent="0.35">
      <c r="AF1202" s="3"/>
      <c r="AH1202" s="9"/>
    </row>
    <row r="1203" spans="32:34" ht="15" customHeight="1" x14ac:dyDescent="0.35">
      <c r="AF1203" s="3"/>
      <c r="AH1203" s="9"/>
    </row>
    <row r="1204" spans="32:34" ht="15" customHeight="1" x14ac:dyDescent="0.35">
      <c r="AF1204" s="3"/>
      <c r="AH1204" s="9"/>
    </row>
    <row r="1205" spans="32:34" ht="15" customHeight="1" x14ac:dyDescent="0.35">
      <c r="AF1205" s="3"/>
      <c r="AH1205" s="9"/>
    </row>
    <row r="1206" spans="32:34" ht="15" customHeight="1" x14ac:dyDescent="0.35">
      <c r="AF1206" s="3"/>
      <c r="AH1206" s="9"/>
    </row>
    <row r="1207" spans="32:34" ht="15" customHeight="1" x14ac:dyDescent="0.35">
      <c r="AF1207" s="3"/>
      <c r="AH1207" s="9"/>
    </row>
    <row r="1208" spans="32:34" ht="15" customHeight="1" x14ac:dyDescent="0.35">
      <c r="AF1208" s="3"/>
      <c r="AH1208" s="9"/>
    </row>
    <row r="1209" spans="32:34" ht="15" customHeight="1" x14ac:dyDescent="0.35">
      <c r="AF1209" s="3"/>
      <c r="AH1209" s="9"/>
    </row>
    <row r="1210" spans="32:34" ht="15" customHeight="1" x14ac:dyDescent="0.35">
      <c r="AF1210" s="3"/>
      <c r="AH1210" s="9"/>
    </row>
    <row r="1211" spans="32:34" ht="15" customHeight="1" x14ac:dyDescent="0.35">
      <c r="AF1211" s="3"/>
      <c r="AH1211" s="9"/>
    </row>
    <row r="1212" spans="32:34" ht="15" customHeight="1" x14ac:dyDescent="0.35">
      <c r="AF1212" s="3"/>
      <c r="AH1212" s="9"/>
    </row>
    <row r="1213" spans="32:34" ht="15" customHeight="1" x14ac:dyDescent="0.35">
      <c r="AF1213" s="3"/>
      <c r="AH1213" s="9"/>
    </row>
    <row r="1214" spans="32:34" ht="15" customHeight="1" x14ac:dyDescent="0.35">
      <c r="AF1214" s="3"/>
      <c r="AH1214" s="9"/>
    </row>
    <row r="1215" spans="32:34" ht="15" customHeight="1" x14ac:dyDescent="0.35">
      <c r="AF1215" s="3"/>
      <c r="AH1215" s="9"/>
    </row>
    <row r="1216" spans="32:34" ht="15" customHeight="1" x14ac:dyDescent="0.35">
      <c r="AF1216" s="3"/>
      <c r="AH1216" s="9"/>
    </row>
    <row r="1217" spans="32:34" ht="15" customHeight="1" x14ac:dyDescent="0.35">
      <c r="AF1217" s="3"/>
      <c r="AH1217" s="9"/>
    </row>
    <row r="1218" spans="32:34" ht="15" customHeight="1" x14ac:dyDescent="0.35">
      <c r="AF1218" s="3"/>
      <c r="AH1218" s="9"/>
    </row>
    <row r="1219" spans="32:34" ht="15" customHeight="1" x14ac:dyDescent="0.35">
      <c r="AF1219" s="3"/>
      <c r="AH1219" s="9"/>
    </row>
    <row r="1220" spans="32:34" ht="15" customHeight="1" x14ac:dyDescent="0.35">
      <c r="AF1220" s="3"/>
      <c r="AH1220" s="9"/>
    </row>
    <row r="1221" spans="32:34" ht="15" customHeight="1" x14ac:dyDescent="0.35">
      <c r="AF1221" s="3"/>
      <c r="AH1221" s="9"/>
    </row>
    <row r="1222" spans="32:34" ht="15" customHeight="1" x14ac:dyDescent="0.35">
      <c r="AF1222" s="3"/>
      <c r="AH1222" s="9"/>
    </row>
    <row r="1223" spans="32:34" ht="15" customHeight="1" x14ac:dyDescent="0.35">
      <c r="AF1223" s="3"/>
      <c r="AH1223" s="9"/>
    </row>
    <row r="1224" spans="32:34" ht="15" customHeight="1" x14ac:dyDescent="0.35">
      <c r="AF1224" s="3"/>
      <c r="AH1224" s="9"/>
    </row>
    <row r="1225" spans="32:34" ht="15" customHeight="1" x14ac:dyDescent="0.35">
      <c r="AF1225" s="3"/>
      <c r="AH1225" s="9"/>
    </row>
    <row r="1226" spans="32:34" ht="15" customHeight="1" x14ac:dyDescent="0.35">
      <c r="AF1226" s="3"/>
      <c r="AH1226" s="9"/>
    </row>
    <row r="1227" spans="32:34" ht="15" customHeight="1" x14ac:dyDescent="0.35">
      <c r="AF1227" s="3"/>
      <c r="AH1227" s="9"/>
    </row>
    <row r="1228" spans="32:34" ht="15" customHeight="1" x14ac:dyDescent="0.35">
      <c r="AF1228" s="3"/>
      <c r="AH1228" s="9"/>
    </row>
    <row r="1229" spans="32:34" ht="15" customHeight="1" x14ac:dyDescent="0.35">
      <c r="AF1229" s="3"/>
      <c r="AH1229" s="9"/>
    </row>
    <row r="1230" spans="32:34" ht="15" customHeight="1" x14ac:dyDescent="0.35">
      <c r="AF1230" s="3"/>
      <c r="AH1230" s="9"/>
    </row>
    <row r="1231" spans="32:34" ht="15" customHeight="1" x14ac:dyDescent="0.35">
      <c r="AF1231" s="3"/>
      <c r="AH1231" s="9"/>
    </row>
    <row r="1232" spans="32:34" ht="15" customHeight="1" x14ac:dyDescent="0.35">
      <c r="AF1232" s="3"/>
      <c r="AH1232" s="9"/>
    </row>
    <row r="1233" spans="32:34" ht="15" customHeight="1" x14ac:dyDescent="0.35">
      <c r="AF1233" s="3"/>
      <c r="AH1233" s="9"/>
    </row>
    <row r="1234" spans="32:34" ht="15" customHeight="1" x14ac:dyDescent="0.35">
      <c r="AF1234" s="3"/>
      <c r="AG1234" s="9"/>
    </row>
    <row r="1235" spans="32:34" ht="15" customHeight="1" x14ac:dyDescent="0.35">
      <c r="AF1235" s="3"/>
      <c r="AG1235" s="9"/>
    </row>
    <row r="1236" spans="32:34" ht="15" customHeight="1" x14ac:dyDescent="0.35">
      <c r="AF1236" s="3"/>
      <c r="AG1236" s="9"/>
    </row>
    <row r="1237" spans="32:34" ht="15" customHeight="1" x14ac:dyDescent="0.35">
      <c r="AF1237" s="3"/>
      <c r="AG1237" s="9"/>
    </row>
    <row r="1238" spans="32:34" ht="15" customHeight="1" x14ac:dyDescent="0.35">
      <c r="AF1238" s="3"/>
      <c r="AG1238" s="9"/>
    </row>
    <row r="1239" spans="32:34" ht="15" customHeight="1" x14ac:dyDescent="0.35">
      <c r="AF1239" s="3"/>
      <c r="AG1239" s="9"/>
    </row>
    <row r="1240" spans="32:34" ht="15" customHeight="1" x14ac:dyDescent="0.35">
      <c r="AF1240" s="3"/>
      <c r="AG1240" s="9"/>
    </row>
    <row r="1241" spans="32:34" ht="15" customHeight="1" x14ac:dyDescent="0.35">
      <c r="AF1241" s="3"/>
      <c r="AG1241" s="9"/>
    </row>
    <row r="1242" spans="32:34" ht="15" customHeight="1" x14ac:dyDescent="0.35">
      <c r="AF1242" s="3"/>
      <c r="AG1242" s="9"/>
    </row>
    <row r="1243" spans="32:34" ht="15" customHeight="1" x14ac:dyDescent="0.35">
      <c r="AF1243" s="3"/>
      <c r="AG1243" s="9"/>
    </row>
    <row r="1244" spans="32:34" ht="15" customHeight="1" x14ac:dyDescent="0.35">
      <c r="AF1244" s="3"/>
      <c r="AG1244" s="9"/>
    </row>
    <row r="1245" spans="32:34" ht="15" customHeight="1" x14ac:dyDescent="0.35">
      <c r="AF1245" s="3"/>
      <c r="AG1245" s="9"/>
    </row>
    <row r="1246" spans="32:34" ht="15" customHeight="1" x14ac:dyDescent="0.35">
      <c r="AF1246" s="3"/>
      <c r="AG1246" s="9"/>
    </row>
    <row r="1247" spans="32:34" ht="15" customHeight="1" x14ac:dyDescent="0.35">
      <c r="AF1247" s="3"/>
      <c r="AG1247" s="9"/>
    </row>
    <row r="1248" spans="32:34" ht="15" customHeight="1" x14ac:dyDescent="0.35">
      <c r="AF1248" s="3"/>
      <c r="AG1248" s="9"/>
    </row>
    <row r="1249" spans="32:33" ht="15" customHeight="1" x14ac:dyDescent="0.35">
      <c r="AF1249" s="3"/>
      <c r="AG1249" s="9"/>
    </row>
    <row r="1250" spans="32:33" ht="15" customHeight="1" x14ac:dyDescent="0.35">
      <c r="AF1250" s="3"/>
      <c r="AG1250" s="9"/>
    </row>
    <row r="1251" spans="32:33" ht="15" customHeight="1" x14ac:dyDescent="0.35">
      <c r="AF1251" s="3"/>
      <c r="AG1251" s="9"/>
    </row>
    <row r="1252" spans="32:33" ht="15" customHeight="1" x14ac:dyDescent="0.35">
      <c r="AF1252" s="3"/>
      <c r="AG1252" s="9"/>
    </row>
    <row r="1253" spans="32:33" ht="15" customHeight="1" x14ac:dyDescent="0.35">
      <c r="AF1253" s="3"/>
      <c r="AG1253" s="9"/>
    </row>
    <row r="1254" spans="32:33" ht="15" customHeight="1" x14ac:dyDescent="0.35">
      <c r="AF1254" s="3"/>
      <c r="AG1254" s="9"/>
    </row>
    <row r="1255" spans="32:33" ht="15" customHeight="1" x14ac:dyDescent="0.35">
      <c r="AF1255" s="3"/>
      <c r="AG1255" s="9"/>
    </row>
    <row r="1256" spans="32:33" ht="15" customHeight="1" x14ac:dyDescent="0.35">
      <c r="AF1256" s="3"/>
      <c r="AG1256" s="9"/>
    </row>
    <row r="1257" spans="32:33" ht="15" customHeight="1" x14ac:dyDescent="0.35">
      <c r="AF1257" s="3"/>
      <c r="AG1257" s="9"/>
    </row>
    <row r="1258" spans="32:33" ht="15" customHeight="1" x14ac:dyDescent="0.35">
      <c r="AF1258" s="3"/>
      <c r="AG1258" s="9"/>
    </row>
    <row r="1259" spans="32:33" ht="15" customHeight="1" x14ac:dyDescent="0.35">
      <c r="AF1259" s="3"/>
      <c r="AG1259" s="9"/>
    </row>
    <row r="1260" spans="32:33" ht="15" customHeight="1" x14ac:dyDescent="0.35">
      <c r="AF1260" s="3"/>
      <c r="AG1260" s="9"/>
    </row>
    <row r="1261" spans="32:33" ht="15" customHeight="1" x14ac:dyDescent="0.35">
      <c r="AF1261" s="3"/>
      <c r="AG1261" s="9"/>
    </row>
    <row r="1262" spans="32:33" ht="15" customHeight="1" x14ac:dyDescent="0.35">
      <c r="AF1262" s="3"/>
      <c r="AG1262" s="9"/>
    </row>
    <row r="1263" spans="32:33" ht="15" customHeight="1" x14ac:dyDescent="0.35">
      <c r="AF1263" s="3"/>
      <c r="AG1263" s="9"/>
    </row>
    <row r="1264" spans="32:33" ht="15" customHeight="1" x14ac:dyDescent="0.35">
      <c r="AF1264" s="3"/>
      <c r="AG1264" s="9"/>
    </row>
    <row r="1265" spans="32:33" ht="15" customHeight="1" x14ac:dyDescent="0.35">
      <c r="AF1265" s="3"/>
      <c r="AG1265" s="9"/>
    </row>
    <row r="1266" spans="32:33" ht="15" customHeight="1" x14ac:dyDescent="0.35">
      <c r="AF1266" s="3"/>
      <c r="AG1266" s="9"/>
    </row>
    <row r="1267" spans="32:33" ht="15" customHeight="1" x14ac:dyDescent="0.35">
      <c r="AF1267" s="3"/>
      <c r="AG1267" s="9"/>
    </row>
    <row r="1268" spans="32:33" ht="15" customHeight="1" x14ac:dyDescent="0.35">
      <c r="AF1268" s="3"/>
      <c r="AG1268" s="9"/>
    </row>
    <row r="1269" spans="32:33" ht="15" customHeight="1" x14ac:dyDescent="0.35">
      <c r="AF1269" s="3"/>
      <c r="AG1269" s="9"/>
    </row>
    <row r="1270" spans="32:33" ht="15" customHeight="1" x14ac:dyDescent="0.35">
      <c r="AF1270" s="3"/>
      <c r="AG1270" s="9"/>
    </row>
    <row r="1271" spans="32:33" ht="15" customHeight="1" x14ac:dyDescent="0.35">
      <c r="AF1271" s="3"/>
      <c r="AG1271" s="9"/>
    </row>
    <row r="1272" spans="32:33" ht="15" customHeight="1" x14ac:dyDescent="0.35">
      <c r="AF1272" s="3"/>
      <c r="AG1272" s="9"/>
    </row>
    <row r="1273" spans="32:33" ht="15" customHeight="1" x14ac:dyDescent="0.35">
      <c r="AF1273" s="3"/>
      <c r="AG1273" s="9"/>
    </row>
    <row r="1274" spans="32:33" ht="15" customHeight="1" x14ac:dyDescent="0.35">
      <c r="AF1274" s="3"/>
      <c r="AG1274" s="9"/>
    </row>
    <row r="1275" spans="32:33" ht="15" customHeight="1" x14ac:dyDescent="0.35">
      <c r="AF1275" s="3"/>
      <c r="AG1275" s="9"/>
    </row>
    <row r="1276" spans="32:33" ht="15" customHeight="1" x14ac:dyDescent="0.35">
      <c r="AF1276" s="3"/>
      <c r="AG1276" s="9"/>
    </row>
    <row r="1277" spans="32:33" ht="15" customHeight="1" x14ac:dyDescent="0.35">
      <c r="AF1277" s="3"/>
      <c r="AG1277" s="9"/>
    </row>
    <row r="1278" spans="32:33" ht="15" customHeight="1" x14ac:dyDescent="0.35">
      <c r="AF1278" s="3"/>
      <c r="AG1278" s="9"/>
    </row>
    <row r="1279" spans="32:33" ht="15" customHeight="1" x14ac:dyDescent="0.35">
      <c r="AF1279" s="3"/>
      <c r="AG1279" s="9"/>
    </row>
    <row r="1280" spans="32:33" ht="15" customHeight="1" x14ac:dyDescent="0.35">
      <c r="AF1280" s="3"/>
      <c r="AG1280" s="9"/>
    </row>
    <row r="1281" spans="32:33" ht="15" customHeight="1" x14ac:dyDescent="0.35">
      <c r="AF1281" s="3"/>
      <c r="AG1281" s="9"/>
    </row>
    <row r="1282" spans="32:33" ht="15" customHeight="1" x14ac:dyDescent="0.35">
      <c r="AF1282" s="3"/>
      <c r="AG1282" s="9"/>
    </row>
    <row r="1283" spans="32:33" ht="15" customHeight="1" x14ac:dyDescent="0.35">
      <c r="AF1283" s="3"/>
      <c r="AG1283" s="9"/>
    </row>
    <row r="1284" spans="32:33" ht="15" customHeight="1" x14ac:dyDescent="0.35">
      <c r="AF1284" s="3"/>
      <c r="AG1284" s="9"/>
    </row>
    <row r="1285" spans="32:33" ht="15" customHeight="1" x14ac:dyDescent="0.35">
      <c r="AF1285" s="3"/>
      <c r="AG1285" s="9"/>
    </row>
    <row r="1286" spans="32:33" ht="15" customHeight="1" x14ac:dyDescent="0.35">
      <c r="AF1286" s="3"/>
      <c r="AG1286" s="9"/>
    </row>
    <row r="1287" spans="32:33" ht="15" customHeight="1" x14ac:dyDescent="0.35">
      <c r="AF1287" s="3"/>
      <c r="AG1287" s="9"/>
    </row>
    <row r="1288" spans="32:33" ht="15" customHeight="1" x14ac:dyDescent="0.35">
      <c r="AF1288" s="3"/>
      <c r="AG1288" s="9"/>
    </row>
    <row r="1289" spans="32:33" ht="15" customHeight="1" x14ac:dyDescent="0.35">
      <c r="AF1289" s="3"/>
      <c r="AG1289" s="9"/>
    </row>
    <row r="1290" spans="32:33" ht="15" customHeight="1" x14ac:dyDescent="0.35">
      <c r="AF1290" s="3"/>
      <c r="AG1290" s="9"/>
    </row>
    <row r="1291" spans="32:33" ht="15" customHeight="1" x14ac:dyDescent="0.35">
      <c r="AF1291" s="3"/>
      <c r="AG1291" s="9"/>
    </row>
    <row r="1292" spans="32:33" ht="15" customHeight="1" x14ac:dyDescent="0.35">
      <c r="AF1292" s="3"/>
      <c r="AG1292" s="9"/>
    </row>
    <row r="1293" spans="32:33" ht="15" customHeight="1" x14ac:dyDescent="0.35">
      <c r="AF1293" s="3"/>
      <c r="AG1293" s="9"/>
    </row>
    <row r="1294" spans="32:33" ht="15" customHeight="1" x14ac:dyDescent="0.35">
      <c r="AF1294" s="3"/>
      <c r="AG1294" s="9"/>
    </row>
    <row r="1295" spans="32:33" ht="15" customHeight="1" x14ac:dyDescent="0.35">
      <c r="AF1295" s="3"/>
      <c r="AG1295" s="9"/>
    </row>
    <row r="1296" spans="32:33" ht="15" customHeight="1" x14ac:dyDescent="0.35">
      <c r="AF1296" s="3"/>
      <c r="AG1296" s="9"/>
    </row>
    <row r="1297" spans="32:33" ht="15" customHeight="1" x14ac:dyDescent="0.35">
      <c r="AF1297" s="3"/>
      <c r="AG1297" s="9"/>
    </row>
    <row r="1298" spans="32:33" ht="15" customHeight="1" x14ac:dyDescent="0.35">
      <c r="AF1298" s="3"/>
      <c r="AG1298" s="9"/>
    </row>
    <row r="1299" spans="32:33" ht="15" customHeight="1" x14ac:dyDescent="0.35">
      <c r="AF1299" s="3"/>
      <c r="AG1299" s="9"/>
    </row>
    <row r="1300" spans="32:33" ht="15" customHeight="1" x14ac:dyDescent="0.35">
      <c r="AF1300" s="3"/>
      <c r="AG1300" s="9"/>
    </row>
    <row r="1301" spans="32:33" ht="15" customHeight="1" x14ac:dyDescent="0.35">
      <c r="AF1301" s="3"/>
      <c r="AG1301" s="9"/>
    </row>
    <row r="1302" spans="32:33" ht="15" customHeight="1" x14ac:dyDescent="0.35">
      <c r="AF1302" s="3"/>
      <c r="AG1302" s="9"/>
    </row>
    <row r="1303" spans="32:33" ht="15" customHeight="1" x14ac:dyDescent="0.35">
      <c r="AF1303" s="3"/>
      <c r="AG1303" s="9"/>
    </row>
    <row r="1304" spans="32:33" ht="15" customHeight="1" x14ac:dyDescent="0.35">
      <c r="AF1304" s="3"/>
      <c r="AG1304" s="9"/>
    </row>
    <row r="1305" spans="32:33" ht="15" customHeight="1" x14ac:dyDescent="0.35">
      <c r="AF1305" s="3"/>
      <c r="AG1305" s="9"/>
    </row>
    <row r="1306" spans="32:33" ht="15" customHeight="1" x14ac:dyDescent="0.35">
      <c r="AF1306" s="3"/>
      <c r="AG1306" s="9"/>
    </row>
    <row r="1307" spans="32:33" ht="15" customHeight="1" x14ac:dyDescent="0.35">
      <c r="AF1307" s="3"/>
      <c r="AG1307" s="9"/>
    </row>
    <row r="1308" spans="32:33" ht="15" customHeight="1" x14ac:dyDescent="0.35">
      <c r="AF1308" s="3"/>
      <c r="AG1308" s="9"/>
    </row>
    <row r="1309" spans="32:33" ht="15" customHeight="1" x14ac:dyDescent="0.35">
      <c r="AF1309" s="3"/>
      <c r="AG1309" s="9"/>
    </row>
    <row r="1310" spans="32:33" ht="15" customHeight="1" x14ac:dyDescent="0.35">
      <c r="AF1310" s="3"/>
      <c r="AG1310" s="9"/>
    </row>
    <row r="1311" spans="32:33" ht="15" customHeight="1" x14ac:dyDescent="0.35">
      <c r="AF1311" s="3"/>
      <c r="AG1311" s="9"/>
    </row>
    <row r="1312" spans="32:33" ht="15" customHeight="1" x14ac:dyDescent="0.35">
      <c r="AF1312" s="3"/>
      <c r="AG1312" s="9"/>
    </row>
    <row r="1313" spans="32:33" ht="15" customHeight="1" x14ac:dyDescent="0.35">
      <c r="AF1313" s="3"/>
      <c r="AG1313" s="9"/>
    </row>
    <row r="1314" spans="32:33" ht="15" customHeight="1" x14ac:dyDescent="0.35">
      <c r="AF1314" s="3"/>
      <c r="AG1314" s="9"/>
    </row>
    <row r="1315" spans="32:33" ht="15" customHeight="1" x14ac:dyDescent="0.35">
      <c r="AF1315" s="3"/>
      <c r="AG1315" s="9"/>
    </row>
    <row r="1316" spans="32:33" ht="15" customHeight="1" x14ac:dyDescent="0.35">
      <c r="AF1316" s="3"/>
      <c r="AG1316" s="9"/>
    </row>
    <row r="1317" spans="32:33" ht="15" customHeight="1" x14ac:dyDescent="0.35">
      <c r="AF1317" s="3"/>
      <c r="AG1317" s="9"/>
    </row>
    <row r="1318" spans="32:33" ht="15" customHeight="1" x14ac:dyDescent="0.35">
      <c r="AF1318" s="3"/>
      <c r="AG1318" s="9"/>
    </row>
    <row r="1319" spans="32:33" ht="15" customHeight="1" x14ac:dyDescent="0.35">
      <c r="AF1319" s="3"/>
      <c r="AG1319" s="9"/>
    </row>
    <row r="1320" spans="32:33" ht="15" customHeight="1" x14ac:dyDescent="0.35">
      <c r="AF1320" s="3"/>
      <c r="AG1320" s="9"/>
    </row>
    <row r="1321" spans="32:33" ht="15" customHeight="1" x14ac:dyDescent="0.35">
      <c r="AF1321" s="3"/>
      <c r="AG1321" s="9"/>
    </row>
    <row r="1322" spans="32:33" ht="15" customHeight="1" x14ac:dyDescent="0.35">
      <c r="AF1322" s="3"/>
      <c r="AG1322" s="9"/>
    </row>
    <row r="1323" spans="32:33" ht="15" customHeight="1" x14ac:dyDescent="0.35">
      <c r="AF1323" s="3"/>
      <c r="AG1323" s="9"/>
    </row>
    <row r="1324" spans="32:33" ht="15" customHeight="1" x14ac:dyDescent="0.35">
      <c r="AF1324" s="3"/>
      <c r="AG1324" s="9"/>
    </row>
    <row r="1325" spans="32:33" ht="15" customHeight="1" x14ac:dyDescent="0.35">
      <c r="AF1325" s="3"/>
      <c r="AG1325" s="9"/>
    </row>
    <row r="1326" spans="32:33" ht="15" customHeight="1" x14ac:dyDescent="0.35">
      <c r="AF1326" s="3"/>
      <c r="AG1326" s="9"/>
    </row>
    <row r="1327" spans="32:33" ht="15" customHeight="1" x14ac:dyDescent="0.35">
      <c r="AF1327" s="3"/>
      <c r="AG1327" s="9"/>
    </row>
    <row r="1328" spans="32:33" ht="15" customHeight="1" x14ac:dyDescent="0.35">
      <c r="AF1328" s="3"/>
      <c r="AG1328" s="9"/>
    </row>
    <row r="1329" spans="32:33" ht="15" customHeight="1" x14ac:dyDescent="0.35">
      <c r="AF1329" s="3"/>
      <c r="AG1329" s="9"/>
    </row>
    <row r="1330" spans="32:33" ht="15" customHeight="1" x14ac:dyDescent="0.35">
      <c r="AF1330" s="3"/>
      <c r="AG1330" s="9"/>
    </row>
    <row r="1331" spans="32:33" ht="15" customHeight="1" x14ac:dyDescent="0.35">
      <c r="AF1331" s="3"/>
      <c r="AG1331" s="9"/>
    </row>
    <row r="1332" spans="32:33" ht="15" customHeight="1" x14ac:dyDescent="0.35">
      <c r="AF1332" s="3"/>
      <c r="AG1332" s="9"/>
    </row>
    <row r="1333" spans="32:33" ht="15" customHeight="1" x14ac:dyDescent="0.35">
      <c r="AF1333" s="3"/>
      <c r="AG1333" s="9"/>
    </row>
    <row r="1334" spans="32:33" ht="15" customHeight="1" x14ac:dyDescent="0.35">
      <c r="AF1334" s="3"/>
      <c r="AG1334" s="9"/>
    </row>
    <row r="1335" spans="32:33" ht="15" customHeight="1" x14ac:dyDescent="0.35">
      <c r="AF1335" s="3"/>
      <c r="AG1335" s="9"/>
    </row>
    <row r="1336" spans="32:33" ht="15" customHeight="1" x14ac:dyDescent="0.35">
      <c r="AF1336" s="3"/>
      <c r="AG1336" s="9"/>
    </row>
    <row r="1337" spans="32:33" ht="15" customHeight="1" x14ac:dyDescent="0.35">
      <c r="AF1337" s="3"/>
      <c r="AG1337" s="9"/>
    </row>
    <row r="1338" spans="32:33" ht="15" customHeight="1" x14ac:dyDescent="0.35">
      <c r="AF1338" s="3"/>
      <c r="AG1338" s="9"/>
    </row>
    <row r="1339" spans="32:33" ht="15" customHeight="1" x14ac:dyDescent="0.35">
      <c r="AF1339" s="3"/>
      <c r="AG1339" s="9"/>
    </row>
    <row r="1340" spans="32:33" ht="15" customHeight="1" x14ac:dyDescent="0.35">
      <c r="AF1340" s="3"/>
      <c r="AG1340" s="9"/>
    </row>
    <row r="1341" spans="32:33" ht="15" customHeight="1" x14ac:dyDescent="0.35">
      <c r="AF1341" s="3"/>
      <c r="AG1341" s="9"/>
    </row>
    <row r="1342" spans="32:33" ht="15" customHeight="1" x14ac:dyDescent="0.35">
      <c r="AF1342" s="3"/>
      <c r="AG1342" s="9"/>
    </row>
    <row r="1343" spans="32:33" ht="15" customHeight="1" x14ac:dyDescent="0.35">
      <c r="AF1343" s="3"/>
      <c r="AG1343" s="9"/>
    </row>
    <row r="1344" spans="32:33" ht="15" customHeight="1" x14ac:dyDescent="0.35">
      <c r="AF1344" s="3"/>
      <c r="AG1344" s="9"/>
    </row>
    <row r="1345" spans="32:33" ht="15" customHeight="1" x14ac:dyDescent="0.35">
      <c r="AF1345" s="3"/>
      <c r="AG1345" s="9"/>
    </row>
    <row r="1346" spans="32:33" ht="15" customHeight="1" x14ac:dyDescent="0.35">
      <c r="AF1346" s="3"/>
      <c r="AG1346" s="9"/>
    </row>
    <row r="1347" spans="32:33" ht="15" customHeight="1" x14ac:dyDescent="0.35">
      <c r="AF1347" s="3"/>
      <c r="AG1347" s="9"/>
    </row>
    <row r="1348" spans="32:33" ht="15" customHeight="1" x14ac:dyDescent="0.35">
      <c r="AF1348" s="3"/>
      <c r="AG1348" s="9"/>
    </row>
    <row r="1349" spans="32:33" ht="15" customHeight="1" x14ac:dyDescent="0.35">
      <c r="AF1349" s="3"/>
      <c r="AG1349" s="9"/>
    </row>
    <row r="1350" spans="32:33" ht="15" customHeight="1" x14ac:dyDescent="0.35">
      <c r="AF1350" s="3"/>
      <c r="AG1350" s="9"/>
    </row>
    <row r="1351" spans="32:33" ht="15" customHeight="1" x14ac:dyDescent="0.35">
      <c r="AF1351" s="3"/>
      <c r="AG1351" s="9"/>
    </row>
    <row r="1352" spans="32:33" ht="15" customHeight="1" x14ac:dyDescent="0.35">
      <c r="AF1352" s="3"/>
      <c r="AG1352" s="9"/>
    </row>
    <row r="1353" spans="32:33" ht="15" customHeight="1" x14ac:dyDescent="0.35">
      <c r="AF1353" s="3"/>
      <c r="AG1353" s="9"/>
    </row>
    <row r="1354" spans="32:33" ht="15" customHeight="1" x14ac:dyDescent="0.35">
      <c r="AF1354" s="3"/>
      <c r="AG1354" s="9"/>
    </row>
    <row r="1355" spans="32:33" ht="15" customHeight="1" x14ac:dyDescent="0.35">
      <c r="AF1355" s="3"/>
      <c r="AG1355" s="9"/>
    </row>
    <row r="1356" spans="32:33" ht="15" customHeight="1" x14ac:dyDescent="0.35">
      <c r="AF1356" s="3"/>
      <c r="AG1356" s="9"/>
    </row>
    <row r="1357" spans="32:33" ht="15" customHeight="1" x14ac:dyDescent="0.35">
      <c r="AF1357" s="3"/>
      <c r="AG1357" s="9"/>
    </row>
    <row r="1358" spans="32:33" ht="15" customHeight="1" x14ac:dyDescent="0.35">
      <c r="AF1358" s="3"/>
      <c r="AG1358" s="9"/>
    </row>
    <row r="1359" spans="32:33" ht="15" customHeight="1" x14ac:dyDescent="0.35">
      <c r="AF1359" s="3"/>
      <c r="AG1359" s="9"/>
    </row>
    <row r="1360" spans="32:33" ht="15" customHeight="1" x14ac:dyDescent="0.35">
      <c r="AF1360" s="3"/>
      <c r="AG1360" s="9"/>
    </row>
    <row r="1361" spans="32:33" ht="15" customHeight="1" x14ac:dyDescent="0.35">
      <c r="AF1361" s="3"/>
      <c r="AG1361" s="9"/>
    </row>
    <row r="1362" spans="32:33" ht="15" customHeight="1" x14ac:dyDescent="0.35">
      <c r="AF1362" s="3"/>
      <c r="AG1362" s="9"/>
    </row>
    <row r="1363" spans="32:33" ht="15" customHeight="1" x14ac:dyDescent="0.35">
      <c r="AF1363" s="3"/>
      <c r="AG1363" s="9"/>
    </row>
    <row r="1364" spans="32:33" ht="15" customHeight="1" x14ac:dyDescent="0.35">
      <c r="AF1364" s="3"/>
      <c r="AG1364" s="9"/>
    </row>
    <row r="1365" spans="32:33" ht="15" customHeight="1" x14ac:dyDescent="0.35">
      <c r="AF1365" s="3"/>
      <c r="AG1365" s="9"/>
    </row>
    <row r="1366" spans="32:33" ht="15" customHeight="1" x14ac:dyDescent="0.35">
      <c r="AF1366" s="3"/>
      <c r="AG1366" s="9"/>
    </row>
    <row r="1367" spans="32:33" ht="15" customHeight="1" x14ac:dyDescent="0.35">
      <c r="AF1367" s="3"/>
      <c r="AG1367" s="9"/>
    </row>
    <row r="1368" spans="32:33" ht="15" customHeight="1" x14ac:dyDescent="0.35">
      <c r="AF1368" s="3"/>
      <c r="AG1368" s="9"/>
    </row>
    <row r="1369" spans="32:33" ht="15" customHeight="1" x14ac:dyDescent="0.35">
      <c r="AF1369" s="3"/>
      <c r="AG1369" s="9"/>
    </row>
    <row r="1370" spans="32:33" ht="15" customHeight="1" x14ac:dyDescent="0.35">
      <c r="AF1370" s="3"/>
      <c r="AG1370" s="9"/>
    </row>
    <row r="1371" spans="32:33" ht="15" customHeight="1" x14ac:dyDescent="0.35">
      <c r="AF1371" s="3"/>
      <c r="AG1371" s="9"/>
    </row>
    <row r="1372" spans="32:33" ht="15" customHeight="1" x14ac:dyDescent="0.35">
      <c r="AF1372" s="3"/>
      <c r="AG1372" s="9"/>
    </row>
    <row r="1373" spans="32:33" ht="15" customHeight="1" x14ac:dyDescent="0.35">
      <c r="AF1373" s="3"/>
      <c r="AG1373" s="9"/>
    </row>
    <row r="1374" spans="32:33" ht="15" customHeight="1" x14ac:dyDescent="0.35">
      <c r="AF1374" s="3"/>
      <c r="AG1374" s="9"/>
    </row>
    <row r="1375" spans="32:33" ht="15" customHeight="1" x14ac:dyDescent="0.35">
      <c r="AF1375" s="3"/>
      <c r="AG1375" s="9"/>
    </row>
    <row r="1376" spans="32:33" ht="15" customHeight="1" x14ac:dyDescent="0.35">
      <c r="AF1376" s="3"/>
      <c r="AG1376" s="9"/>
    </row>
    <row r="1377" spans="32:33" ht="15" customHeight="1" x14ac:dyDescent="0.35">
      <c r="AF1377" s="3"/>
      <c r="AG1377" s="9"/>
    </row>
    <row r="1378" spans="32:33" ht="15" customHeight="1" x14ac:dyDescent="0.35">
      <c r="AF1378" s="3"/>
      <c r="AG1378" s="9"/>
    </row>
    <row r="1379" spans="32:33" ht="15" customHeight="1" x14ac:dyDescent="0.35">
      <c r="AF1379" s="3"/>
      <c r="AG1379" s="9"/>
    </row>
    <row r="1380" spans="32:33" ht="15" customHeight="1" x14ac:dyDescent="0.35">
      <c r="AF1380" s="3"/>
      <c r="AG1380" s="9"/>
    </row>
    <row r="1381" spans="32:33" ht="15" customHeight="1" x14ac:dyDescent="0.35">
      <c r="AF1381" s="3"/>
      <c r="AG1381" s="9"/>
    </row>
    <row r="1382" spans="32:33" ht="15" customHeight="1" x14ac:dyDescent="0.35">
      <c r="AF1382" s="3"/>
      <c r="AG1382" s="9"/>
    </row>
    <row r="1383" spans="32:33" ht="15" customHeight="1" x14ac:dyDescent="0.35">
      <c r="AF1383" s="3"/>
      <c r="AG1383" s="9"/>
    </row>
    <row r="1384" spans="32:33" ht="15" customHeight="1" x14ac:dyDescent="0.35">
      <c r="AF1384" s="3"/>
      <c r="AG1384" s="9"/>
    </row>
    <row r="1385" spans="32:33" ht="15" customHeight="1" x14ac:dyDescent="0.35">
      <c r="AF1385" s="3"/>
      <c r="AG1385" s="9"/>
    </row>
    <row r="1386" spans="32:33" ht="15" customHeight="1" x14ac:dyDescent="0.35">
      <c r="AF1386" s="3"/>
      <c r="AG1386" s="9"/>
    </row>
    <row r="1387" spans="32:33" ht="15" customHeight="1" x14ac:dyDescent="0.35">
      <c r="AF1387" s="3"/>
      <c r="AG1387" s="9"/>
    </row>
    <row r="1388" spans="32:33" ht="15" customHeight="1" x14ac:dyDescent="0.35">
      <c r="AF1388" s="3"/>
      <c r="AG1388" s="9"/>
    </row>
    <row r="1389" spans="32:33" ht="15" customHeight="1" x14ac:dyDescent="0.35">
      <c r="AF1389" s="3"/>
      <c r="AG1389" s="9"/>
    </row>
    <row r="1390" spans="32:33" ht="15" customHeight="1" x14ac:dyDescent="0.35">
      <c r="AF1390" s="3"/>
      <c r="AG1390" s="9"/>
    </row>
    <row r="1391" spans="32:33" ht="15" customHeight="1" x14ac:dyDescent="0.35">
      <c r="AF1391" s="3"/>
      <c r="AG1391" s="9"/>
    </row>
    <row r="1392" spans="32:33" ht="15" customHeight="1" x14ac:dyDescent="0.35">
      <c r="AF1392" s="3"/>
      <c r="AG1392" s="9"/>
    </row>
    <row r="1393" spans="32:33" ht="15" customHeight="1" x14ac:dyDescent="0.35">
      <c r="AF1393" s="3"/>
      <c r="AG1393" s="9"/>
    </row>
    <row r="1394" spans="32:33" ht="15" customHeight="1" x14ac:dyDescent="0.35">
      <c r="AF1394" s="3"/>
      <c r="AG1394" s="9"/>
    </row>
    <row r="1395" spans="32:33" ht="15" customHeight="1" x14ac:dyDescent="0.35">
      <c r="AF1395" s="3"/>
      <c r="AG1395" s="9"/>
    </row>
    <row r="1396" spans="32:33" ht="15" customHeight="1" x14ac:dyDescent="0.35">
      <c r="AF1396" s="3"/>
      <c r="AG1396" s="9"/>
    </row>
    <row r="1397" spans="32:33" ht="15" customHeight="1" x14ac:dyDescent="0.35">
      <c r="AF1397" s="3"/>
      <c r="AG1397" s="9"/>
    </row>
    <row r="1398" spans="32:33" ht="15" customHeight="1" x14ac:dyDescent="0.35">
      <c r="AF1398" s="3"/>
      <c r="AG1398" s="9"/>
    </row>
    <row r="1399" spans="32:33" ht="15" customHeight="1" x14ac:dyDescent="0.35">
      <c r="AF1399" s="3"/>
      <c r="AG1399" s="9"/>
    </row>
    <row r="1400" spans="32:33" ht="15" customHeight="1" x14ac:dyDescent="0.35">
      <c r="AF1400" s="3"/>
      <c r="AG1400" s="9"/>
    </row>
    <row r="1401" spans="32:33" ht="15" customHeight="1" x14ac:dyDescent="0.35">
      <c r="AF1401" s="3"/>
      <c r="AG1401" s="9"/>
    </row>
    <row r="1402" spans="32:33" ht="15" customHeight="1" x14ac:dyDescent="0.35">
      <c r="AF1402" s="3"/>
      <c r="AG1402" s="9"/>
    </row>
    <row r="1403" spans="32:33" ht="15" customHeight="1" x14ac:dyDescent="0.35">
      <c r="AF1403" s="3"/>
      <c r="AG1403" s="9"/>
    </row>
    <row r="1404" spans="32:33" ht="15" customHeight="1" x14ac:dyDescent="0.35">
      <c r="AF1404" s="3"/>
      <c r="AG1404" s="9"/>
    </row>
    <row r="1405" spans="32:33" ht="15" customHeight="1" x14ac:dyDescent="0.35">
      <c r="AF1405" s="3"/>
      <c r="AG1405" s="9"/>
    </row>
    <row r="1406" spans="32:33" ht="15" customHeight="1" x14ac:dyDescent="0.35">
      <c r="AF1406" s="3"/>
      <c r="AG1406" s="9"/>
    </row>
    <row r="1407" spans="32:33" ht="15" customHeight="1" x14ac:dyDescent="0.35">
      <c r="AF1407" s="3"/>
      <c r="AG1407" s="9"/>
    </row>
    <row r="1408" spans="32:33" ht="15" customHeight="1" x14ac:dyDescent="0.35">
      <c r="AF1408" s="3"/>
      <c r="AG1408" s="9"/>
    </row>
    <row r="1409" spans="32:33" ht="15" customHeight="1" x14ac:dyDescent="0.35">
      <c r="AF1409" s="3"/>
      <c r="AG1409" s="9"/>
    </row>
    <row r="1410" spans="32:33" ht="15" customHeight="1" x14ac:dyDescent="0.35">
      <c r="AF1410" s="3"/>
      <c r="AG1410" s="9"/>
    </row>
    <row r="1411" spans="32:33" ht="15" customHeight="1" x14ac:dyDescent="0.35">
      <c r="AF1411" s="3"/>
      <c r="AG1411" s="9"/>
    </row>
    <row r="1412" spans="32:33" ht="15" customHeight="1" x14ac:dyDescent="0.35">
      <c r="AF1412" s="3"/>
      <c r="AG1412" s="9"/>
    </row>
    <row r="1413" spans="32:33" ht="15" customHeight="1" x14ac:dyDescent="0.35">
      <c r="AF1413" s="3"/>
      <c r="AG1413" s="9"/>
    </row>
    <row r="1414" spans="32:33" ht="15" customHeight="1" x14ac:dyDescent="0.35">
      <c r="AF1414" s="3"/>
      <c r="AG1414" s="9"/>
    </row>
    <row r="1415" spans="32:33" ht="15" customHeight="1" x14ac:dyDescent="0.35">
      <c r="AF1415" s="3"/>
      <c r="AG1415" s="9"/>
    </row>
    <row r="1416" spans="32:33" ht="15" customHeight="1" x14ac:dyDescent="0.35">
      <c r="AF1416" s="3"/>
      <c r="AG1416" s="9"/>
    </row>
    <row r="1417" spans="32:33" ht="15" customHeight="1" x14ac:dyDescent="0.35">
      <c r="AF1417" s="3"/>
      <c r="AG1417" s="9"/>
    </row>
    <row r="1418" spans="32:33" ht="15" customHeight="1" x14ac:dyDescent="0.35">
      <c r="AF1418" s="3"/>
      <c r="AG1418" s="9"/>
    </row>
    <row r="1419" spans="32:33" ht="15" customHeight="1" x14ac:dyDescent="0.35">
      <c r="AF1419" s="3"/>
      <c r="AG1419" s="9"/>
    </row>
    <row r="1420" spans="32:33" ht="15" customHeight="1" x14ac:dyDescent="0.35">
      <c r="AF1420" s="3"/>
      <c r="AG1420" s="9"/>
    </row>
    <row r="1421" spans="32:33" ht="15" customHeight="1" x14ac:dyDescent="0.35">
      <c r="AF1421" s="3"/>
      <c r="AG1421" s="9"/>
    </row>
    <row r="1422" spans="32:33" ht="15" customHeight="1" x14ac:dyDescent="0.35">
      <c r="AF1422" s="3"/>
      <c r="AG1422" s="9"/>
    </row>
    <row r="1423" spans="32:33" ht="15" customHeight="1" x14ac:dyDescent="0.35">
      <c r="AF1423" s="3"/>
      <c r="AG1423" s="9"/>
    </row>
    <row r="1424" spans="32:33" ht="15" customHeight="1" x14ac:dyDescent="0.35">
      <c r="AF1424" s="3"/>
      <c r="AG1424" s="9"/>
    </row>
    <row r="1425" spans="32:33" ht="15" customHeight="1" x14ac:dyDescent="0.35">
      <c r="AF1425" s="3"/>
      <c r="AG1425" s="9"/>
    </row>
    <row r="1426" spans="32:33" ht="15" customHeight="1" x14ac:dyDescent="0.35">
      <c r="AF1426" s="3"/>
      <c r="AG1426" s="9"/>
    </row>
    <row r="1427" spans="32:33" ht="15" customHeight="1" x14ac:dyDescent="0.35">
      <c r="AF1427" s="3"/>
      <c r="AG1427" s="9"/>
    </row>
    <row r="1428" spans="32:33" ht="15" customHeight="1" x14ac:dyDescent="0.35">
      <c r="AF1428" s="3"/>
      <c r="AG1428" s="9"/>
    </row>
    <row r="1429" spans="32:33" ht="15" customHeight="1" x14ac:dyDescent="0.35">
      <c r="AF1429" s="3"/>
      <c r="AG1429" s="9"/>
    </row>
    <row r="1430" spans="32:33" ht="15" customHeight="1" x14ac:dyDescent="0.35">
      <c r="AF1430" s="3"/>
      <c r="AG1430" s="9"/>
    </row>
    <row r="1431" spans="32:33" ht="15" customHeight="1" x14ac:dyDescent="0.35">
      <c r="AF1431" s="3"/>
      <c r="AG1431" s="9"/>
    </row>
    <row r="1432" spans="32:33" ht="15" customHeight="1" x14ac:dyDescent="0.35">
      <c r="AF1432" s="3"/>
      <c r="AG1432" s="9"/>
    </row>
    <row r="1433" spans="32:33" ht="15" customHeight="1" x14ac:dyDescent="0.35">
      <c r="AF1433" s="3"/>
      <c r="AG1433" s="9"/>
    </row>
    <row r="1434" spans="32:33" ht="15" customHeight="1" x14ac:dyDescent="0.35">
      <c r="AF1434" s="3"/>
      <c r="AG1434" s="9"/>
    </row>
    <row r="1435" spans="32:33" ht="15" customHeight="1" x14ac:dyDescent="0.35">
      <c r="AF1435" s="3"/>
      <c r="AG1435" s="9"/>
    </row>
    <row r="1436" spans="32:33" ht="15" customHeight="1" x14ac:dyDescent="0.35">
      <c r="AF1436" s="3"/>
      <c r="AG1436" s="9"/>
    </row>
    <row r="1437" spans="32:33" ht="15" customHeight="1" x14ac:dyDescent="0.35">
      <c r="AF1437" s="3"/>
      <c r="AG1437" s="9"/>
    </row>
    <row r="1438" spans="32:33" ht="15" customHeight="1" x14ac:dyDescent="0.35">
      <c r="AF1438" s="3"/>
      <c r="AG1438" s="9"/>
    </row>
    <row r="1439" spans="32:33" ht="15" customHeight="1" x14ac:dyDescent="0.35">
      <c r="AF1439" s="3"/>
      <c r="AG1439" s="9"/>
    </row>
    <row r="1440" spans="32:33" ht="15" customHeight="1" x14ac:dyDescent="0.35">
      <c r="AF1440" s="3"/>
      <c r="AG1440" s="9"/>
    </row>
    <row r="1441" spans="32:33" ht="15" customHeight="1" x14ac:dyDescent="0.35">
      <c r="AF1441" s="3"/>
      <c r="AG1441" s="9"/>
    </row>
    <row r="1442" spans="32:33" ht="15" customHeight="1" x14ac:dyDescent="0.35">
      <c r="AF1442" s="3"/>
      <c r="AG1442" s="9"/>
    </row>
    <row r="1443" spans="32:33" ht="15" customHeight="1" x14ac:dyDescent="0.35">
      <c r="AF1443" s="3"/>
      <c r="AG1443" s="9"/>
    </row>
    <row r="1444" spans="32:33" ht="15" customHeight="1" x14ac:dyDescent="0.35">
      <c r="AF1444" s="3"/>
      <c r="AG1444" s="9"/>
    </row>
    <row r="1445" spans="32:33" ht="15" customHeight="1" x14ac:dyDescent="0.35">
      <c r="AF1445" s="3"/>
      <c r="AG1445" s="9"/>
    </row>
    <row r="1446" spans="32:33" ht="15" customHeight="1" x14ac:dyDescent="0.35">
      <c r="AF1446" s="3"/>
      <c r="AG1446" s="9"/>
    </row>
    <row r="1447" spans="32:33" ht="15" customHeight="1" x14ac:dyDescent="0.35">
      <c r="AF1447" s="3"/>
      <c r="AG1447" s="9"/>
    </row>
    <row r="1448" spans="32:33" ht="15" customHeight="1" x14ac:dyDescent="0.35">
      <c r="AF1448" s="3"/>
      <c r="AG1448" s="9"/>
    </row>
    <row r="1449" spans="32:33" ht="15" customHeight="1" x14ac:dyDescent="0.35">
      <c r="AF1449" s="3"/>
      <c r="AG1449" s="9"/>
    </row>
    <row r="1450" spans="32:33" ht="15" customHeight="1" x14ac:dyDescent="0.35">
      <c r="AF1450" s="3"/>
      <c r="AG1450" s="9"/>
    </row>
    <row r="1451" spans="32:33" ht="15" customHeight="1" x14ac:dyDescent="0.35">
      <c r="AF1451" s="3"/>
      <c r="AG1451" s="9"/>
    </row>
    <row r="1452" spans="32:33" ht="15" customHeight="1" x14ac:dyDescent="0.35">
      <c r="AF1452" s="3"/>
      <c r="AG1452" s="9"/>
    </row>
    <row r="1453" spans="32:33" ht="15" customHeight="1" x14ac:dyDescent="0.35">
      <c r="AF1453" s="3"/>
      <c r="AG1453" s="9"/>
    </row>
    <row r="1454" spans="32:33" ht="15" customHeight="1" x14ac:dyDescent="0.35">
      <c r="AF1454" s="3"/>
      <c r="AG1454" s="9"/>
    </row>
    <row r="1455" spans="32:33" ht="15" customHeight="1" x14ac:dyDescent="0.35">
      <c r="AF1455" s="3"/>
      <c r="AG1455" s="9"/>
    </row>
    <row r="1456" spans="32:33" ht="15" customHeight="1" x14ac:dyDescent="0.35">
      <c r="AF1456" s="3"/>
      <c r="AG1456" s="9"/>
    </row>
    <row r="1457" spans="32:33" ht="15" customHeight="1" x14ac:dyDescent="0.35">
      <c r="AF1457" s="3"/>
      <c r="AG1457" s="9"/>
    </row>
    <row r="1458" spans="32:33" ht="15" customHeight="1" x14ac:dyDescent="0.35">
      <c r="AF1458" s="3"/>
      <c r="AG1458" s="9"/>
    </row>
    <row r="1459" spans="32:33" ht="15" customHeight="1" x14ac:dyDescent="0.35">
      <c r="AF1459" s="3"/>
      <c r="AG1459" s="9"/>
    </row>
    <row r="1460" spans="32:33" ht="15" customHeight="1" x14ac:dyDescent="0.35">
      <c r="AF1460" s="3"/>
      <c r="AG1460" s="9"/>
    </row>
    <row r="1461" spans="32:33" ht="15" customHeight="1" x14ac:dyDescent="0.35">
      <c r="AF1461" s="3"/>
      <c r="AG1461" s="9"/>
    </row>
    <row r="1462" spans="32:33" ht="15" customHeight="1" x14ac:dyDescent="0.35">
      <c r="AF1462" s="3"/>
      <c r="AG1462" s="9"/>
    </row>
    <row r="1463" spans="32:33" ht="15" customHeight="1" x14ac:dyDescent="0.35">
      <c r="AF1463" s="3"/>
      <c r="AG1463" s="9"/>
    </row>
    <row r="1464" spans="32:33" ht="15" customHeight="1" x14ac:dyDescent="0.35">
      <c r="AF1464" s="3"/>
      <c r="AG1464" s="9"/>
    </row>
    <row r="1465" spans="32:33" ht="15" customHeight="1" x14ac:dyDescent="0.35">
      <c r="AF1465" s="3"/>
      <c r="AG1465" s="9"/>
    </row>
    <row r="1466" spans="32:33" ht="15" customHeight="1" x14ac:dyDescent="0.35">
      <c r="AF1466" s="3"/>
      <c r="AG1466" s="9"/>
    </row>
    <row r="1467" spans="32:33" ht="15" customHeight="1" x14ac:dyDescent="0.35">
      <c r="AF1467" s="3"/>
      <c r="AG1467" s="9"/>
    </row>
    <row r="1468" spans="32:33" ht="15" customHeight="1" x14ac:dyDescent="0.35">
      <c r="AF1468" s="3"/>
      <c r="AG1468" s="9"/>
    </row>
    <row r="1469" spans="32:33" ht="15" customHeight="1" x14ac:dyDescent="0.35">
      <c r="AF1469" s="3"/>
      <c r="AG1469" s="9"/>
    </row>
    <row r="1470" spans="32:33" ht="15" customHeight="1" x14ac:dyDescent="0.35">
      <c r="AF1470" s="3"/>
      <c r="AG1470" s="9"/>
    </row>
    <row r="1471" spans="32:33" ht="15" customHeight="1" x14ac:dyDescent="0.35">
      <c r="AF1471" s="3"/>
      <c r="AG1471" s="9"/>
    </row>
    <row r="1472" spans="32:33" ht="15" customHeight="1" x14ac:dyDescent="0.35">
      <c r="AF1472" s="3"/>
      <c r="AG1472" s="9"/>
    </row>
    <row r="1473" spans="32:33" ht="15" customHeight="1" x14ac:dyDescent="0.35">
      <c r="AF1473" s="3"/>
      <c r="AG1473" s="9"/>
    </row>
    <row r="1474" spans="32:33" ht="15" customHeight="1" x14ac:dyDescent="0.35">
      <c r="AF1474" s="3"/>
      <c r="AG1474" s="9"/>
    </row>
    <row r="1475" spans="32:33" ht="15" customHeight="1" x14ac:dyDescent="0.35">
      <c r="AF1475" s="3"/>
      <c r="AG1475" s="9"/>
    </row>
    <row r="1476" spans="32:33" ht="15" customHeight="1" x14ac:dyDescent="0.35">
      <c r="AF1476" s="3"/>
      <c r="AG1476" s="9"/>
    </row>
    <row r="1477" spans="32:33" ht="15" customHeight="1" x14ac:dyDescent="0.35">
      <c r="AF1477" s="3"/>
      <c r="AG1477" s="9"/>
    </row>
    <row r="1478" spans="32:33" ht="15" customHeight="1" x14ac:dyDescent="0.35">
      <c r="AF1478" s="3"/>
      <c r="AG1478" s="9"/>
    </row>
    <row r="1479" spans="32:33" ht="15" customHeight="1" x14ac:dyDescent="0.35">
      <c r="AF1479" s="3"/>
      <c r="AG1479" s="9"/>
    </row>
    <row r="1480" spans="32:33" ht="15" customHeight="1" x14ac:dyDescent="0.35">
      <c r="AF1480" s="3"/>
      <c r="AG1480" s="9"/>
    </row>
    <row r="1481" spans="32:33" ht="15" customHeight="1" x14ac:dyDescent="0.35">
      <c r="AF1481" s="3"/>
      <c r="AG1481" s="9"/>
    </row>
    <row r="1482" spans="32:33" ht="15" customHeight="1" x14ac:dyDescent="0.35">
      <c r="AF1482" s="3"/>
      <c r="AG1482" s="9"/>
    </row>
    <row r="1483" spans="32:33" ht="15" customHeight="1" x14ac:dyDescent="0.35">
      <c r="AF1483" s="3"/>
      <c r="AG1483" s="9"/>
    </row>
    <row r="1484" spans="32:33" ht="15" customHeight="1" x14ac:dyDescent="0.35">
      <c r="AF1484" s="3"/>
      <c r="AG1484" s="9"/>
    </row>
    <row r="1485" spans="32:33" ht="15" customHeight="1" x14ac:dyDescent="0.35">
      <c r="AF1485" s="3"/>
      <c r="AG1485" s="9"/>
    </row>
    <row r="1486" spans="32:33" ht="15" customHeight="1" x14ac:dyDescent="0.35">
      <c r="AF1486" s="3"/>
      <c r="AG1486" s="9"/>
    </row>
    <row r="1487" spans="32:33" ht="15" customHeight="1" x14ac:dyDescent="0.35">
      <c r="AF1487" s="3"/>
      <c r="AG1487" s="9"/>
    </row>
    <row r="1488" spans="32:33" ht="15" customHeight="1" x14ac:dyDescent="0.35">
      <c r="AF1488" s="3"/>
      <c r="AG1488" s="9"/>
    </row>
    <row r="1489" spans="32:33" ht="15" customHeight="1" x14ac:dyDescent="0.35">
      <c r="AF1489" s="3"/>
      <c r="AG1489" s="9"/>
    </row>
    <row r="1490" spans="32:33" ht="15" customHeight="1" x14ac:dyDescent="0.35">
      <c r="AF1490" s="3"/>
      <c r="AG1490" s="9"/>
    </row>
    <row r="1491" spans="32:33" ht="15" customHeight="1" x14ac:dyDescent="0.35">
      <c r="AF1491" s="3"/>
      <c r="AG1491" s="9"/>
    </row>
    <row r="1492" spans="32:33" ht="15" customHeight="1" x14ac:dyDescent="0.35">
      <c r="AF1492" s="3"/>
      <c r="AG1492" s="9"/>
    </row>
    <row r="1493" spans="32:33" ht="15" customHeight="1" x14ac:dyDescent="0.35">
      <c r="AF1493" s="3"/>
      <c r="AG1493" s="9"/>
    </row>
    <row r="1494" spans="32:33" ht="15" customHeight="1" x14ac:dyDescent="0.35">
      <c r="AF1494" s="3"/>
      <c r="AG1494" s="9"/>
    </row>
    <row r="1495" spans="32:33" ht="15" customHeight="1" x14ac:dyDescent="0.35">
      <c r="AF1495" s="3"/>
      <c r="AG1495" s="9"/>
    </row>
    <row r="1496" spans="32:33" ht="15" customHeight="1" x14ac:dyDescent="0.35">
      <c r="AF1496" s="3"/>
      <c r="AG1496" s="9"/>
    </row>
    <row r="1497" spans="32:33" ht="15" customHeight="1" x14ac:dyDescent="0.35">
      <c r="AF1497" s="3"/>
      <c r="AG1497" s="9"/>
    </row>
    <row r="1498" spans="32:33" ht="15" customHeight="1" x14ac:dyDescent="0.35">
      <c r="AF1498" s="3"/>
      <c r="AG1498" s="9"/>
    </row>
    <row r="1499" spans="32:33" ht="15" customHeight="1" x14ac:dyDescent="0.35">
      <c r="AF1499" s="3"/>
      <c r="AG1499" s="9"/>
    </row>
    <row r="1500" spans="32:33" ht="15" customHeight="1" x14ac:dyDescent="0.35">
      <c r="AF1500" s="3"/>
      <c r="AG1500" s="9"/>
    </row>
    <row r="1501" spans="32:33" ht="15" customHeight="1" x14ac:dyDescent="0.35">
      <c r="AF1501" s="3"/>
      <c r="AG1501" s="9"/>
    </row>
    <row r="1502" spans="32:33" ht="15" customHeight="1" x14ac:dyDescent="0.35">
      <c r="AF1502" s="3"/>
      <c r="AG1502" s="9"/>
    </row>
    <row r="1503" spans="32:33" ht="15" customHeight="1" x14ac:dyDescent="0.35">
      <c r="AF1503" s="3"/>
      <c r="AG1503" s="9"/>
    </row>
  </sheetData>
  <dataValidations count="7">
    <dataValidation type="list" allowBlank="1" showInputMessage="1" showErrorMessage="1" sqref="AN1164:AN1233 AL1504:AL1048576 AM1234:AM1503" xr:uid="{00000000-0002-0000-0200-000000000000}">
      <formula1>$N$4:$N$9</formula1>
    </dataValidation>
    <dataValidation type="list" allowBlank="1" showInputMessage="1" showErrorMessage="1" sqref="AL1164:AL1233 AJ1504:AJ1048576 AK1234:AK1503" xr:uid="{00000000-0002-0000-0200-000001000000}">
      <formula1>$M$4:$M$6</formula1>
    </dataValidation>
    <dataValidation type="list" allowBlank="1" showInputMessage="1" showErrorMessage="1" sqref="AS1164:AS1233 AR1234:AR1503 AQ1504:AQ1048576" xr:uid="{00000000-0002-0000-0200-000002000000}">
      <formula1>$K$4:$K$11</formula1>
    </dataValidation>
    <dataValidation type="list" allowBlank="1" showInputMessage="1" showErrorMessage="1" sqref="AK1164:AK1233 AJ1234:AJ1503 AI1504:AI1048576" xr:uid="{00000000-0002-0000-0200-000003000000}">
      <formula1>$L$4:$L$13</formula1>
    </dataValidation>
    <dataValidation type="list" allowBlank="1" showInputMessage="1" showErrorMessage="1" sqref="AO1164:AO1233 AN1234:AN1503 AM1504:AM1048576" xr:uid="{00000000-0002-0000-0200-000004000000}">
      <formula1>$C$4:$C$12</formula1>
    </dataValidation>
    <dataValidation type="list" allowBlank="1" showInputMessage="1" showErrorMessage="1" sqref="AD1164:AD1233 AC1234:AC1503" xr:uid="{00000000-0002-0000-0200-000005000000}">
      <formula1>$H$4:$H$12</formula1>
    </dataValidation>
    <dataValidation type="list" allowBlank="1" showInputMessage="1" showErrorMessage="1" sqref="AR1164:AR1233 AP1504:AP1048576 AQ1234:AQ1503" xr:uid="{00000000-0002-0000-0200-000006000000}">
      <formula1>$E$4:$E$6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00000000-0002-0000-0200-000007000000}">
          <x14:formula1>
            <xm:f>'controlled vocabulary'!$O$4:$O$9</xm:f>
          </x14:formula1>
          <xm:sqref>AL4:AL1163</xm:sqref>
        </x14:dataValidation>
        <x14:dataValidation type="list" allowBlank="1" showInputMessage="1" showErrorMessage="1" xr:uid="{00000000-0002-0000-0200-000008000000}">
          <x14:formula1>
            <xm:f>'controlled vocabulary'!$N$4:$N$6</xm:f>
          </x14:formula1>
          <xm:sqref>AJ4:AJ1163</xm:sqref>
        </x14:dataValidation>
        <x14:dataValidation type="list" allowBlank="1" showInputMessage="1" showErrorMessage="1" xr:uid="{00000000-0002-0000-0200-000009000000}">
          <x14:formula1>
            <xm:f>'controlled vocabulary'!$L$4:$L$10</xm:f>
          </x14:formula1>
          <xm:sqref>AQ4:AQ1163</xm:sqref>
        </x14:dataValidation>
        <x14:dataValidation type="list" allowBlank="1" showInputMessage="1" showErrorMessage="1" xr:uid="{00000000-0002-0000-0200-00000A000000}">
          <x14:formula1>
            <xm:f>'controlled vocabulary'!$C$4:$C$11</xm:f>
          </x14:formula1>
          <xm:sqref>AM4:AM1163</xm:sqref>
        </x14:dataValidation>
        <x14:dataValidation type="list" allowBlank="1" showInputMessage="1" showErrorMessage="1" xr:uid="{00000000-0002-0000-0200-00000B000000}">
          <x14:formula1>
            <xm:f>'controlled vocabulary'!$P$4:$P$5</xm:f>
          </x14:formula1>
          <xm:sqref>K1164:K1048576</xm:sqref>
        </x14:dataValidation>
        <x14:dataValidation type="list" allowBlank="1" showInputMessage="1" showErrorMessage="1" xr:uid="{00000000-0002-0000-0200-00000C000000}">
          <x14:formula1>
            <xm:f>'controlled vocabulary'!$H$4:$H$11</xm:f>
          </x14:formula1>
          <xm:sqref>Y4:Y1048576</xm:sqref>
        </x14:dataValidation>
        <x14:dataValidation type="list" allowBlank="1" showInputMessage="1" showErrorMessage="1" xr:uid="{00000000-0002-0000-0200-00000D000000}">
          <x14:formula1>
            <xm:f>'controlled vocabulary'!$M$4:$M$12</xm:f>
          </x14:formula1>
          <xm:sqref>AI4:AI1163</xm:sqref>
        </x14:dataValidation>
        <x14:dataValidation type="list" allowBlank="1" showInputMessage="1" showErrorMessage="1" xr:uid="{00000000-0002-0000-0200-00000E000000}">
          <x14:formula1>
            <xm:f>'controlled vocabulary'!$F$4:$F$15</xm:f>
          </x14:formula1>
          <xm:sqref>R1164:R1048576 P4:P1048576</xm:sqref>
        </x14:dataValidation>
        <x14:dataValidation type="list" allowBlank="1" showInputMessage="1" showErrorMessage="1" xr:uid="{00000000-0002-0000-0200-00000F000000}">
          <x14:formula1>
            <xm:f>'controlled vocabulary'!$E$4:$E$6</xm:f>
          </x14:formula1>
          <xm:sqref>AP4:AP1163</xm:sqref>
        </x14:dataValidation>
        <x14:dataValidation type="list" allowBlank="1" showInputMessage="1" showErrorMessage="1" xr:uid="{00000000-0002-0000-0200-000010000000}">
          <x14:formula1>
            <xm:f>'controlled vocabulary'!$G$4:$G$6</xm:f>
          </x14:formula1>
          <xm:sqref>S4:S1048576</xm:sqref>
        </x14:dataValidation>
        <x14:dataValidation type="list" allowBlank="1" showInputMessage="1" showErrorMessage="1" xr:uid="{00000000-0002-0000-0200-000011000000}">
          <x14:formula1>
            <xm:f>'controlled vocabulary'!$I$4:$I$6</xm:f>
          </x14:formula1>
          <xm:sqref>Z4:Z1048576</xm:sqref>
        </x14:dataValidation>
        <x14:dataValidation type="list" allowBlank="1" showInputMessage="1" showErrorMessage="1" xr:uid="{00000000-0002-0000-0200-000012000000}">
          <x14:formula1>
            <xm:f>'controlled vocabulary'!$J$4:$J$6</xm:f>
          </x14:formula1>
          <xm:sqref>AA4:AA1048576</xm:sqref>
        </x14:dataValidation>
        <x14:dataValidation type="list" allowBlank="1" showInputMessage="1" showErrorMessage="1" xr:uid="{00000000-0002-0000-0200-000013000000}">
          <x14:formula1>
            <xm:f>'controlled vocabulary'!$K$4:$K$6</xm:f>
          </x14:formula1>
          <xm:sqref>AB4:AB1048576</xm:sqref>
        </x14:dataValidation>
        <x14:dataValidation type="list" allowBlank="1" showInputMessage="1" showErrorMessage="1" xr:uid="{00000000-0002-0000-0200-000014000000}">
          <x14:formula1>
            <xm:f>'controlled vocabulary'!$B$4:$B$5</xm:f>
          </x14:formula1>
          <xm:sqref>I4:I1048576</xm:sqref>
        </x14:dataValidation>
        <x14:dataValidation type="list" allowBlank="1" showInputMessage="1" showErrorMessage="1" xr:uid="{00000000-0002-0000-0200-000015000000}">
          <x14:formula1>
            <xm:f>OFFSET(site!B$1,3,0,COUNTA(site!B:B)-2,1)</xm:f>
          </x14:formula1>
          <xm:sqref>B4:B1048576</xm:sqref>
        </x14:dataValidation>
        <x14:dataValidation type="list" allowBlank="1" showInputMessage="1" showErrorMessage="1" xr:uid="{00000000-0002-0000-0200-00001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3"/>
  <sheetViews>
    <sheetView workbookViewId="0">
      <selection activeCell="G31" sqref="G31"/>
    </sheetView>
  </sheetViews>
  <sheetFormatPr defaultColWidth="11.453125" defaultRowHeight="14.5" x14ac:dyDescent="0.35"/>
  <cols>
    <col min="1" max="1" width="14.6328125" style="3" customWidth="1"/>
    <col min="2" max="2" width="12.36328125" bestFit="1" customWidth="1"/>
    <col min="3" max="3" width="12.36328125" customWidth="1"/>
    <col min="4" max="5" width="13.1796875" customWidth="1"/>
    <col min="6" max="7" width="12.36328125" customWidth="1"/>
    <col min="8" max="8" width="14.81640625" style="115" customWidth="1"/>
    <col min="9" max="9" width="15" style="115" customWidth="1"/>
    <col min="10" max="10" width="14.36328125" style="115" bestFit="1" customWidth="1"/>
    <col min="11" max="11" width="14.36328125" style="115" customWidth="1"/>
    <col min="12" max="12" width="21.1796875" customWidth="1"/>
    <col min="13" max="13" width="17.36328125" customWidth="1"/>
    <col min="15" max="15" width="22.81640625" bestFit="1" customWidth="1"/>
    <col min="16" max="16" width="19" bestFit="1" customWidth="1"/>
    <col min="17" max="17" width="19" customWidth="1"/>
    <col min="18" max="18" width="18.453125" bestFit="1" customWidth="1"/>
    <col min="19" max="20" width="11.453125" customWidth="1"/>
    <col min="21" max="21" width="17" bestFit="1" customWidth="1"/>
    <col min="22" max="22" width="16.453125" bestFit="1" customWidth="1"/>
    <col min="23" max="23" width="14.81640625" bestFit="1" customWidth="1"/>
    <col min="24" max="24" width="13" bestFit="1" customWidth="1"/>
    <col min="25" max="25" width="14.1796875" bestFit="1" customWidth="1"/>
    <col min="26" max="26" width="11.36328125" bestFit="1" customWidth="1"/>
    <col min="27" max="27" width="12.6328125" customWidth="1"/>
    <col min="28" max="32" width="13" customWidth="1"/>
    <col min="34" max="34" width="15.453125" bestFit="1" customWidth="1"/>
    <col min="35" max="36" width="15.453125" customWidth="1"/>
    <col min="38" max="38" width="18.453125" bestFit="1" customWidth="1"/>
    <col min="39" max="39" width="12" bestFit="1" customWidth="1"/>
    <col min="40" max="40" width="8.6328125" bestFit="1" customWidth="1"/>
    <col min="41" max="41" width="14.81640625" bestFit="1" customWidth="1"/>
    <col min="42" max="42" width="14.453125" customWidth="1"/>
    <col min="43" max="43" width="19.81640625" bestFit="1" customWidth="1"/>
    <col min="44" max="44" width="25.81640625" bestFit="1" customWidth="1"/>
    <col min="45" max="45" width="22.81640625" bestFit="1" customWidth="1"/>
  </cols>
  <sheetData>
    <row r="1" spans="1:45" s="88" customFormat="1" ht="29" customHeight="1" x14ac:dyDescent="0.35">
      <c r="A1" s="18" t="s">
        <v>637</v>
      </c>
      <c r="B1" s="18" t="s">
        <v>14</v>
      </c>
      <c r="C1" s="94" t="s">
        <v>593</v>
      </c>
      <c r="D1" s="99" t="s">
        <v>427</v>
      </c>
      <c r="E1" s="99" t="s">
        <v>781</v>
      </c>
      <c r="F1" s="24" t="s">
        <v>595</v>
      </c>
      <c r="G1" s="24" t="s">
        <v>596</v>
      </c>
      <c r="H1" s="111" t="s">
        <v>711</v>
      </c>
      <c r="I1" s="105" t="s">
        <v>712</v>
      </c>
      <c r="J1" s="105" t="s">
        <v>713</v>
      </c>
      <c r="K1" s="105" t="s">
        <v>812</v>
      </c>
      <c r="L1" s="86" t="s">
        <v>404</v>
      </c>
      <c r="M1" s="86" t="s">
        <v>405</v>
      </c>
      <c r="N1" s="86" t="s">
        <v>406</v>
      </c>
      <c r="O1" s="86" t="s">
        <v>407</v>
      </c>
      <c r="P1" s="95" t="s">
        <v>626</v>
      </c>
      <c r="Q1" s="86" t="s">
        <v>652</v>
      </c>
      <c r="R1" s="95" t="s">
        <v>617</v>
      </c>
      <c r="S1" s="86" t="s">
        <v>408</v>
      </c>
      <c r="T1" s="86" t="s">
        <v>655</v>
      </c>
      <c r="U1" s="86" t="s">
        <v>409</v>
      </c>
      <c r="V1" s="86" t="s">
        <v>410</v>
      </c>
      <c r="W1" s="86" t="s">
        <v>411</v>
      </c>
      <c r="X1" s="86" t="s">
        <v>412</v>
      </c>
      <c r="Y1" s="86" t="s">
        <v>413</v>
      </c>
      <c r="Z1" s="86" t="s">
        <v>414</v>
      </c>
      <c r="AA1" s="86" t="s">
        <v>415</v>
      </c>
      <c r="AB1" s="86" t="s">
        <v>416</v>
      </c>
      <c r="AC1" s="86" t="s">
        <v>883</v>
      </c>
      <c r="AD1" s="86" t="s">
        <v>885</v>
      </c>
      <c r="AE1" s="86" t="s">
        <v>886</v>
      </c>
      <c r="AF1" s="86" t="s">
        <v>887</v>
      </c>
      <c r="AG1" s="87" t="s">
        <v>691</v>
      </c>
      <c r="AH1" s="87" t="s">
        <v>692</v>
      </c>
      <c r="AI1" s="87" t="s">
        <v>896</v>
      </c>
      <c r="AJ1" s="87" t="s">
        <v>893</v>
      </c>
      <c r="AK1" s="62" t="s">
        <v>417</v>
      </c>
      <c r="AL1" s="62" t="s">
        <v>418</v>
      </c>
      <c r="AM1" s="62" t="s">
        <v>419</v>
      </c>
      <c r="AN1" s="62" t="s">
        <v>420</v>
      </c>
      <c r="AO1" s="62" t="s">
        <v>421</v>
      </c>
      <c r="AP1" s="35" t="s">
        <v>422</v>
      </c>
      <c r="AQ1" s="62" t="s">
        <v>423</v>
      </c>
      <c r="AR1" s="62" t="s">
        <v>424</v>
      </c>
      <c r="AS1" s="35" t="s">
        <v>425</v>
      </c>
    </row>
    <row r="2" spans="1:45" s="121" customFormat="1" ht="58" customHeight="1" x14ac:dyDescent="0.35">
      <c r="A2" s="22" t="s">
        <v>638</v>
      </c>
      <c r="B2" s="26" t="s">
        <v>16</v>
      </c>
      <c r="C2" s="26" t="s">
        <v>340</v>
      </c>
      <c r="D2" s="26" t="s">
        <v>594</v>
      </c>
      <c r="E2" s="26" t="s">
        <v>782</v>
      </c>
      <c r="F2" s="26" t="s">
        <v>597</v>
      </c>
      <c r="G2" s="26" t="s">
        <v>598</v>
      </c>
      <c r="H2" s="106" t="s">
        <v>700</v>
      </c>
      <c r="I2" s="106" t="s">
        <v>701</v>
      </c>
      <c r="J2" s="106" t="s">
        <v>699</v>
      </c>
      <c r="K2" s="106" t="s">
        <v>813</v>
      </c>
      <c r="L2" s="119" t="s">
        <v>756</v>
      </c>
      <c r="M2" s="119"/>
      <c r="N2" s="119" t="s">
        <v>760</v>
      </c>
      <c r="O2" s="119" t="s">
        <v>616</v>
      </c>
      <c r="P2" s="119" t="s">
        <v>653</v>
      </c>
      <c r="Q2" s="119" t="s">
        <v>654</v>
      </c>
      <c r="R2" s="119" t="s">
        <v>762</v>
      </c>
      <c r="S2" s="119" t="s">
        <v>683</v>
      </c>
      <c r="T2" s="119" t="s">
        <v>684</v>
      </c>
      <c r="U2" s="119" t="s">
        <v>349</v>
      </c>
      <c r="V2" s="119" t="s">
        <v>348</v>
      </c>
      <c r="W2" s="119" t="s">
        <v>301</v>
      </c>
      <c r="X2" s="119" t="s">
        <v>347</v>
      </c>
      <c r="Y2" s="119" t="s">
        <v>346</v>
      </c>
      <c r="Z2" s="120" t="s">
        <v>345</v>
      </c>
      <c r="AA2" s="119" t="s">
        <v>344</v>
      </c>
      <c r="AB2" s="119" t="s">
        <v>690</v>
      </c>
      <c r="AC2" s="119" t="s">
        <v>884</v>
      </c>
      <c r="AD2" s="119" t="s">
        <v>888</v>
      </c>
      <c r="AE2" s="119" t="s">
        <v>775</v>
      </c>
      <c r="AF2" s="119" t="s">
        <v>889</v>
      </c>
      <c r="AG2" s="43" t="s">
        <v>658</v>
      </c>
      <c r="AH2" s="43" t="s">
        <v>659</v>
      </c>
      <c r="AI2" s="43" t="s">
        <v>895</v>
      </c>
      <c r="AJ2" s="43" t="s">
        <v>894</v>
      </c>
      <c r="AK2" s="43" t="s">
        <v>86</v>
      </c>
      <c r="AL2" s="43" t="s">
        <v>87</v>
      </c>
      <c r="AM2" s="43" t="s">
        <v>88</v>
      </c>
      <c r="AN2" s="43" t="s">
        <v>660</v>
      </c>
      <c r="AO2" s="43" t="s">
        <v>661</v>
      </c>
      <c r="AP2" s="43" t="s">
        <v>662</v>
      </c>
      <c r="AQ2" s="43" t="s">
        <v>663</v>
      </c>
      <c r="AR2" s="43" t="s">
        <v>664</v>
      </c>
      <c r="AS2" s="43" t="s">
        <v>665</v>
      </c>
    </row>
    <row r="3" spans="1:45" s="68" customFormat="1" ht="29" x14ac:dyDescent="0.35">
      <c r="A3" s="28" t="s">
        <v>331</v>
      </c>
      <c r="B3" s="27"/>
      <c r="C3" s="101"/>
      <c r="D3" s="93"/>
      <c r="E3" s="93"/>
      <c r="F3" s="27" t="s">
        <v>31</v>
      </c>
      <c r="G3" s="27" t="s">
        <v>31</v>
      </c>
      <c r="H3" s="107" t="s">
        <v>697</v>
      </c>
      <c r="I3" s="107" t="s">
        <v>34</v>
      </c>
      <c r="J3" s="107" t="s">
        <v>698</v>
      </c>
      <c r="K3" s="107"/>
      <c r="L3" s="118" t="s">
        <v>757</v>
      </c>
      <c r="M3" s="81"/>
      <c r="N3" s="118" t="s">
        <v>755</v>
      </c>
      <c r="O3" s="118" t="s">
        <v>758</v>
      </c>
      <c r="P3" s="118" t="s">
        <v>759</v>
      </c>
      <c r="Q3" s="80"/>
      <c r="R3" s="118" t="s">
        <v>761</v>
      </c>
      <c r="S3" s="122" t="s">
        <v>865</v>
      </c>
      <c r="T3" s="118" t="s">
        <v>764</v>
      </c>
      <c r="U3" s="81" t="s">
        <v>342</v>
      </c>
      <c r="V3" s="81" t="s">
        <v>342</v>
      </c>
      <c r="W3" s="81" t="s">
        <v>297</v>
      </c>
      <c r="X3" s="80" t="s">
        <v>37</v>
      </c>
      <c r="Y3" s="80" t="s">
        <v>37</v>
      </c>
      <c r="Z3" s="81"/>
      <c r="AA3" s="81"/>
      <c r="AB3" s="118" t="s">
        <v>765</v>
      </c>
      <c r="AC3" s="118" t="s">
        <v>890</v>
      </c>
      <c r="AD3" s="118" t="s">
        <v>891</v>
      </c>
      <c r="AE3" s="118"/>
      <c r="AF3" s="118" t="s">
        <v>892</v>
      </c>
      <c r="AG3" s="55" t="s">
        <v>131</v>
      </c>
      <c r="AH3" s="55" t="s">
        <v>131</v>
      </c>
      <c r="AI3" s="55" t="s">
        <v>131</v>
      </c>
      <c r="AJ3" s="55" t="s">
        <v>131</v>
      </c>
      <c r="AK3" s="55" t="s">
        <v>55</v>
      </c>
      <c r="AL3" s="55"/>
      <c r="AM3" s="55" t="s">
        <v>132</v>
      </c>
      <c r="AN3" s="55" t="s">
        <v>131</v>
      </c>
      <c r="AO3" s="55" t="s">
        <v>131</v>
      </c>
      <c r="AP3" s="55" t="s">
        <v>131</v>
      </c>
      <c r="AQ3" s="55"/>
      <c r="AR3" s="55"/>
      <c r="AS3" s="55"/>
    </row>
    <row r="4" spans="1:45" x14ac:dyDescent="0.35">
      <c r="A4" s="13"/>
      <c r="B4" s="3"/>
      <c r="C4" s="3"/>
      <c r="D4" s="3"/>
      <c r="E4" s="3"/>
      <c r="F4" s="3"/>
      <c r="G4" s="3"/>
      <c r="H4" s="108"/>
      <c r="I4" s="108"/>
      <c r="J4" s="108"/>
      <c r="K4" s="10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35">
      <c r="A5" s="13"/>
      <c r="B5" s="3"/>
      <c r="C5" s="3"/>
      <c r="D5" s="3"/>
      <c r="E5" s="3"/>
      <c r="F5" s="3"/>
      <c r="G5" s="3"/>
      <c r="H5" s="108"/>
      <c r="I5" s="108"/>
      <c r="J5" s="108"/>
      <c r="K5" s="10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35">
      <c r="A6" s="13"/>
      <c r="B6" s="3"/>
      <c r="C6" s="3"/>
      <c r="D6" s="3"/>
      <c r="E6" s="3"/>
      <c r="F6" s="3"/>
      <c r="G6" s="3"/>
      <c r="H6" s="108"/>
      <c r="I6" s="108"/>
      <c r="J6" s="108"/>
      <c r="K6" s="10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35">
      <c r="A7" s="13"/>
      <c r="B7" s="3"/>
      <c r="C7" s="3"/>
      <c r="D7" s="3"/>
      <c r="E7" s="3"/>
      <c r="F7" s="3"/>
      <c r="G7" s="3"/>
      <c r="H7" s="108"/>
      <c r="I7" s="108"/>
      <c r="J7" s="108"/>
      <c r="K7" s="108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35">
      <c r="B8" s="3"/>
      <c r="C8" s="3"/>
      <c r="D8" s="3"/>
      <c r="E8" s="3"/>
      <c r="F8" s="3"/>
      <c r="G8" s="3"/>
      <c r="H8" s="108"/>
      <c r="I8" s="108"/>
      <c r="J8" s="108"/>
      <c r="K8" s="10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35">
      <c r="B9" s="3"/>
      <c r="C9" s="3"/>
      <c r="D9" s="3"/>
      <c r="E9" s="3"/>
      <c r="F9" s="3"/>
      <c r="G9" s="3"/>
      <c r="H9" s="108"/>
      <c r="I9" s="108"/>
      <c r="J9" s="108"/>
      <c r="K9" s="10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35">
      <c r="B10" s="3"/>
      <c r="C10" s="3"/>
      <c r="D10" s="3"/>
      <c r="E10" s="3"/>
      <c r="F10" s="3"/>
      <c r="G10" s="3"/>
      <c r="H10" s="108"/>
      <c r="I10" s="108"/>
      <c r="J10" s="108"/>
      <c r="K10" s="10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35">
      <c r="B11" s="3"/>
      <c r="C11" s="3"/>
      <c r="D11" s="3"/>
      <c r="E11" s="3"/>
      <c r="F11" s="3"/>
      <c r="G11" s="3"/>
      <c r="H11" s="108"/>
      <c r="I11" s="108"/>
      <c r="J11" s="108"/>
      <c r="K11" s="10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35">
      <c r="B12" s="3"/>
      <c r="C12" s="3"/>
      <c r="D12" s="3"/>
      <c r="E12" s="3"/>
      <c r="F12" s="3"/>
      <c r="G12" s="3"/>
      <c r="H12" s="108"/>
      <c r="I12" s="108"/>
      <c r="J12" s="108"/>
      <c r="K12" s="10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35">
      <c r="B13" s="3"/>
      <c r="C13" s="3"/>
      <c r="D13" s="3"/>
      <c r="E13" s="3"/>
      <c r="F13" s="3"/>
      <c r="G13" s="3"/>
      <c r="H13" s="108"/>
      <c r="I13" s="108"/>
      <c r="J13" s="108"/>
      <c r="K13" s="10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35">
      <c r="B14" s="3"/>
      <c r="C14" s="3"/>
      <c r="D14" s="3"/>
      <c r="E14" s="3"/>
      <c r="F14" s="3"/>
      <c r="G14" s="3"/>
      <c r="H14" s="108"/>
      <c r="I14" s="108"/>
      <c r="J14" s="108"/>
      <c r="K14" s="10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35">
      <c r="B15" s="3"/>
      <c r="C15" s="3"/>
      <c r="D15" s="3"/>
      <c r="E15" s="3"/>
      <c r="F15" s="3"/>
      <c r="G15" s="3"/>
      <c r="H15" s="108"/>
      <c r="I15" s="108"/>
      <c r="J15" s="108"/>
      <c r="K15" s="10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35">
      <c r="B16" s="3"/>
      <c r="C16" s="3"/>
      <c r="D16" s="3"/>
      <c r="E16" s="3"/>
      <c r="F16" s="3"/>
      <c r="G16" s="3"/>
      <c r="H16" s="108"/>
      <c r="I16" s="108"/>
      <c r="J16" s="108"/>
      <c r="K16" s="10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2:45" x14ac:dyDescent="0.35">
      <c r="B17" s="3"/>
      <c r="C17" s="3"/>
      <c r="D17" s="3"/>
      <c r="E17" s="3"/>
      <c r="F17" s="3"/>
      <c r="G17" s="3"/>
      <c r="H17" s="108"/>
      <c r="I17" s="108"/>
      <c r="J17" s="108"/>
      <c r="K17" s="10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2:45" x14ac:dyDescent="0.35">
      <c r="B18" s="3"/>
      <c r="C18" s="3"/>
      <c r="D18" s="3"/>
      <c r="E18" s="3"/>
      <c r="F18" s="3"/>
      <c r="G18" s="3"/>
      <c r="H18" s="108"/>
      <c r="I18" s="108"/>
      <c r="J18" s="108"/>
      <c r="K18" s="108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2:45" x14ac:dyDescent="0.35">
      <c r="B19" s="3"/>
      <c r="C19" s="3"/>
      <c r="D19" s="3"/>
      <c r="E19" s="3"/>
      <c r="F19" s="3"/>
      <c r="G19" s="3"/>
      <c r="H19" s="108"/>
      <c r="I19" s="108"/>
      <c r="J19" s="108"/>
      <c r="K19" s="108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2:45" x14ac:dyDescent="0.35">
      <c r="B20" s="3"/>
      <c r="C20" s="3"/>
      <c r="D20" s="3"/>
      <c r="E20" s="3"/>
      <c r="F20" s="3"/>
      <c r="G20" s="3"/>
      <c r="H20" s="108"/>
      <c r="I20" s="108"/>
      <c r="J20" s="108"/>
      <c r="K20" s="10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2:45" x14ac:dyDescent="0.35">
      <c r="B21" s="3"/>
      <c r="C21" s="3"/>
      <c r="D21" s="3"/>
      <c r="E21" s="3"/>
      <c r="F21" s="3"/>
      <c r="G21" s="3"/>
      <c r="H21" s="108"/>
      <c r="I21" s="108"/>
      <c r="J21" s="108"/>
      <c r="K21" s="10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2:45" x14ac:dyDescent="0.35">
      <c r="B22" s="3"/>
      <c r="C22" s="3"/>
      <c r="D22" s="3"/>
      <c r="E22" s="3"/>
      <c r="F22" s="3"/>
      <c r="G22" s="3"/>
      <c r="H22" s="108"/>
      <c r="I22" s="108"/>
      <c r="J22" s="108"/>
      <c r="K22" s="10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2:45" x14ac:dyDescent="0.35">
      <c r="B23" s="3"/>
      <c r="C23" s="3"/>
      <c r="D23" s="3"/>
      <c r="E23" s="3"/>
      <c r="F23" s="3"/>
      <c r="G23" s="3"/>
      <c r="H23" s="108"/>
      <c r="I23" s="108"/>
      <c r="J23" s="108"/>
      <c r="K23" s="10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2:45" x14ac:dyDescent="0.35">
      <c r="B24" s="3"/>
      <c r="C24" s="3"/>
      <c r="D24" s="3"/>
      <c r="E24" s="3"/>
      <c r="F24" s="3"/>
      <c r="G24" s="3"/>
      <c r="H24" s="108"/>
      <c r="I24" s="108"/>
      <c r="J24" s="108"/>
      <c r="K24" s="10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2:45" x14ac:dyDescent="0.35">
      <c r="B25" s="3"/>
      <c r="C25" s="3"/>
      <c r="D25" s="3"/>
      <c r="E25" s="3"/>
      <c r="F25" s="3"/>
      <c r="G25" s="3"/>
      <c r="H25" s="108"/>
      <c r="I25" s="108"/>
      <c r="J25" s="108"/>
      <c r="K25" s="10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2:45" x14ac:dyDescent="0.35">
      <c r="B26" s="3"/>
      <c r="C26" s="3"/>
      <c r="D26" s="3"/>
      <c r="E26" s="3"/>
      <c r="F26" s="3"/>
      <c r="G26" s="3"/>
      <c r="H26" s="108"/>
      <c r="I26" s="108"/>
      <c r="J26" s="108"/>
      <c r="K26" s="10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2:45" x14ac:dyDescent="0.35">
      <c r="B27" s="3"/>
      <c r="C27" s="3"/>
      <c r="D27" s="3"/>
      <c r="E27" s="3"/>
      <c r="F27" s="3"/>
      <c r="G27" s="3"/>
      <c r="H27" s="108"/>
      <c r="I27" s="108"/>
      <c r="J27" s="108"/>
      <c r="K27" s="10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2:45" x14ac:dyDescent="0.35">
      <c r="B28" s="3"/>
      <c r="C28" s="3"/>
      <c r="D28" s="3"/>
      <c r="E28" s="3"/>
      <c r="F28" s="3"/>
      <c r="G28" s="3"/>
      <c r="H28" s="108"/>
      <c r="I28" s="108"/>
      <c r="J28" s="108"/>
      <c r="K28" s="10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2:45" x14ac:dyDescent="0.35">
      <c r="B29" s="3"/>
      <c r="C29" s="3"/>
      <c r="D29" s="3"/>
      <c r="E29" s="3"/>
      <c r="F29" s="3"/>
      <c r="G29" s="3"/>
      <c r="H29" s="108"/>
      <c r="I29" s="108"/>
      <c r="J29" s="108"/>
      <c r="K29" s="10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2:45" x14ac:dyDescent="0.35">
      <c r="B30" s="3"/>
      <c r="C30" s="3"/>
      <c r="D30" s="3"/>
      <c r="E30" s="3"/>
      <c r="F30" s="3"/>
      <c r="G30" s="3"/>
      <c r="H30" s="108"/>
      <c r="I30" s="108"/>
      <c r="J30" s="108"/>
      <c r="K30" s="10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2:45" x14ac:dyDescent="0.35">
      <c r="B31" s="3"/>
      <c r="C31" s="3"/>
      <c r="D31" s="3"/>
      <c r="E31" s="3"/>
      <c r="F31" s="3"/>
      <c r="G31" s="3"/>
      <c r="H31" s="108"/>
      <c r="I31" s="108"/>
      <c r="J31" s="108"/>
      <c r="K31" s="10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2:45" x14ac:dyDescent="0.35">
      <c r="B32" s="3"/>
      <c r="C32" s="3"/>
      <c r="D32" s="3"/>
      <c r="E32" s="3"/>
      <c r="F32" s="3"/>
      <c r="G32" s="3"/>
      <c r="H32" s="108"/>
      <c r="I32" s="108"/>
      <c r="J32" s="108"/>
      <c r="K32" s="10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2:45" x14ac:dyDescent="0.35">
      <c r="B33" s="3"/>
      <c r="C33" s="3"/>
      <c r="D33" s="3"/>
      <c r="E33" s="3"/>
      <c r="F33" s="3"/>
      <c r="G33" s="3"/>
      <c r="H33" s="108"/>
      <c r="I33" s="108"/>
      <c r="J33" s="108"/>
      <c r="K33" s="10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2:45" x14ac:dyDescent="0.35">
      <c r="B34" s="3"/>
      <c r="C34" s="3"/>
      <c r="D34" s="3"/>
      <c r="E34" s="3"/>
      <c r="F34" s="3"/>
      <c r="G34" s="3"/>
      <c r="H34" s="108"/>
      <c r="I34" s="108"/>
      <c r="J34" s="108"/>
      <c r="K34" s="10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2:45" x14ac:dyDescent="0.35">
      <c r="B35" s="3"/>
      <c r="C35" s="3"/>
      <c r="D35" s="3"/>
      <c r="E35" s="3"/>
      <c r="F35" s="3"/>
      <c r="G35" s="3"/>
      <c r="H35" s="108"/>
      <c r="I35" s="108"/>
      <c r="J35" s="108"/>
      <c r="K35" s="10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2:45" x14ac:dyDescent="0.35">
      <c r="B36" s="3"/>
      <c r="C36" s="3"/>
      <c r="D36" s="3"/>
      <c r="E36" s="3"/>
      <c r="F36" s="3"/>
      <c r="G36" s="3"/>
      <c r="H36" s="108"/>
      <c r="I36" s="108"/>
      <c r="J36" s="108"/>
      <c r="K36" s="10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2:45" x14ac:dyDescent="0.35">
      <c r="B37" s="3"/>
      <c r="C37" s="3"/>
      <c r="D37" s="3"/>
      <c r="E37" s="3"/>
      <c r="F37" s="3"/>
      <c r="G37" s="3"/>
      <c r="H37" s="108"/>
      <c r="I37" s="108"/>
      <c r="J37" s="108"/>
      <c r="K37" s="10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2:45" x14ac:dyDescent="0.35">
      <c r="B38" s="3"/>
      <c r="C38" s="3"/>
      <c r="D38" s="3"/>
      <c r="E38" s="3"/>
      <c r="F38" s="3"/>
      <c r="G38" s="3"/>
      <c r="H38" s="108"/>
      <c r="I38" s="108"/>
      <c r="J38" s="108"/>
      <c r="K38" s="10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2:45" x14ac:dyDescent="0.35">
      <c r="B39" s="3"/>
      <c r="C39" s="3"/>
      <c r="D39" s="3"/>
      <c r="E39" s="3"/>
      <c r="F39" s="3"/>
      <c r="G39" s="3"/>
      <c r="H39" s="108"/>
      <c r="I39" s="108"/>
      <c r="J39" s="108"/>
      <c r="K39" s="108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2:45" x14ac:dyDescent="0.35">
      <c r="B40" s="3"/>
      <c r="C40" s="3"/>
      <c r="D40" s="3"/>
      <c r="E40" s="3"/>
      <c r="F40" s="3"/>
      <c r="G40" s="3"/>
      <c r="H40" s="108"/>
      <c r="I40" s="108"/>
      <c r="J40" s="108"/>
      <c r="K40" s="10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2:45" x14ac:dyDescent="0.35">
      <c r="B41" s="3"/>
      <c r="C41" s="3"/>
      <c r="D41" s="3"/>
      <c r="E41" s="3"/>
      <c r="F41" s="3"/>
      <c r="G41" s="3"/>
      <c r="H41" s="108"/>
      <c r="I41" s="108"/>
      <c r="J41" s="108"/>
      <c r="K41" s="10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2:45" x14ac:dyDescent="0.35">
      <c r="B42" s="3"/>
      <c r="C42" s="3"/>
      <c r="D42" s="3"/>
      <c r="E42" s="3"/>
      <c r="F42" s="3"/>
      <c r="G42" s="3"/>
      <c r="H42" s="108"/>
      <c r="I42" s="108"/>
      <c r="J42" s="108"/>
      <c r="K42" s="108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2:45" x14ac:dyDescent="0.35">
      <c r="B43" s="3"/>
      <c r="C43" s="3"/>
      <c r="D43" s="3"/>
      <c r="E43" s="3"/>
      <c r="F43" s="3"/>
      <c r="G43" s="3"/>
      <c r="H43" s="108"/>
      <c r="I43" s="108"/>
      <c r="J43" s="108"/>
      <c r="K43" s="10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2:45" x14ac:dyDescent="0.35">
      <c r="B44" s="3"/>
      <c r="C44" s="3"/>
      <c r="D44" s="3"/>
      <c r="E44" s="3"/>
      <c r="F44" s="3"/>
      <c r="G44" s="3"/>
      <c r="H44" s="108"/>
      <c r="I44" s="108"/>
      <c r="J44" s="108"/>
      <c r="K44" s="10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2:45" x14ac:dyDescent="0.35">
      <c r="B45" s="3"/>
      <c r="C45" s="3"/>
      <c r="D45" s="3"/>
      <c r="E45" s="3"/>
      <c r="F45" s="3"/>
      <c r="G45" s="3"/>
      <c r="H45" s="108"/>
      <c r="I45" s="108"/>
      <c r="J45" s="108"/>
      <c r="K45" s="108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2:45" x14ac:dyDescent="0.35">
      <c r="B46" s="3"/>
      <c r="C46" s="3"/>
      <c r="D46" s="3"/>
      <c r="E46" s="3"/>
      <c r="F46" s="3"/>
      <c r="G46" s="3"/>
      <c r="H46" s="108"/>
      <c r="I46" s="108"/>
      <c r="J46" s="108"/>
      <c r="K46" s="10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2:45" x14ac:dyDescent="0.35">
      <c r="B47" s="3"/>
      <c r="C47" s="3"/>
      <c r="D47" s="3"/>
      <c r="E47" s="3"/>
      <c r="F47" s="3"/>
      <c r="G47" s="3"/>
      <c r="H47" s="108"/>
      <c r="I47" s="108"/>
      <c r="J47" s="108"/>
      <c r="K47" s="10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2:45" x14ac:dyDescent="0.35">
      <c r="B48" s="3"/>
      <c r="C48" s="3"/>
      <c r="D48" s="3"/>
      <c r="E48" s="3"/>
      <c r="F48" s="3"/>
      <c r="G48" s="3"/>
      <c r="H48" s="108"/>
      <c r="I48" s="108"/>
      <c r="J48" s="108"/>
      <c r="K48" s="108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2:45" x14ac:dyDescent="0.35">
      <c r="B49" s="3"/>
      <c r="C49" s="3"/>
      <c r="D49" s="3"/>
      <c r="E49" s="3"/>
      <c r="F49" s="3"/>
      <c r="G49" s="3"/>
      <c r="H49" s="108"/>
      <c r="I49" s="108"/>
      <c r="J49" s="108"/>
      <c r="K49" s="10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2:45" x14ac:dyDescent="0.35">
      <c r="B50" s="3"/>
      <c r="C50" s="3"/>
      <c r="D50" s="3"/>
      <c r="E50" s="3"/>
      <c r="F50" s="3"/>
      <c r="G50" s="3"/>
      <c r="H50" s="108"/>
      <c r="I50" s="108"/>
      <c r="J50" s="108"/>
      <c r="K50" s="10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2:45" x14ac:dyDescent="0.35">
      <c r="B51" s="3"/>
      <c r="C51" s="3"/>
      <c r="D51" s="3"/>
      <c r="E51" s="3"/>
      <c r="F51" s="3"/>
      <c r="G51" s="3"/>
      <c r="H51" s="108"/>
      <c r="I51" s="108"/>
      <c r="J51" s="108"/>
      <c r="K51" s="10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2:45" x14ac:dyDescent="0.35">
      <c r="B52" s="3"/>
      <c r="C52" s="3"/>
      <c r="D52" s="3"/>
      <c r="E52" s="3"/>
      <c r="F52" s="3"/>
      <c r="G52" s="3"/>
      <c r="H52" s="108"/>
      <c r="I52" s="108"/>
      <c r="J52" s="108"/>
      <c r="K52" s="108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2:45" x14ac:dyDescent="0.35">
      <c r="B53" s="3"/>
      <c r="C53" s="3"/>
      <c r="D53" s="3"/>
      <c r="E53" s="3"/>
      <c r="F53" s="3"/>
      <c r="G53" s="3"/>
      <c r="H53" s="108"/>
      <c r="I53" s="108"/>
      <c r="J53" s="108"/>
      <c r="K53" s="108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2:45" x14ac:dyDescent="0.35">
      <c r="B54" s="3"/>
      <c r="C54" s="3"/>
      <c r="D54" s="3"/>
      <c r="E54" s="3"/>
      <c r="F54" s="3"/>
      <c r="G54" s="3"/>
      <c r="H54" s="108"/>
      <c r="I54" s="108"/>
      <c r="J54" s="108"/>
      <c r="K54" s="108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2:45" x14ac:dyDescent="0.35">
      <c r="B55" s="3"/>
      <c r="C55" s="3"/>
      <c r="D55" s="3"/>
      <c r="E55" s="3"/>
      <c r="F55" s="3"/>
      <c r="G55" s="3"/>
      <c r="H55" s="108"/>
      <c r="I55" s="108"/>
      <c r="J55" s="108"/>
      <c r="K55" s="108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2:45" x14ac:dyDescent="0.35">
      <c r="B56" s="3"/>
      <c r="C56" s="3"/>
      <c r="D56" s="3"/>
      <c r="E56" s="3"/>
      <c r="F56" s="3"/>
      <c r="G56" s="3"/>
      <c r="H56" s="108"/>
      <c r="I56" s="108"/>
      <c r="J56" s="108"/>
      <c r="K56" s="108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2:45" x14ac:dyDescent="0.35">
      <c r="B57" s="3"/>
      <c r="C57" s="3"/>
      <c r="D57" s="3"/>
      <c r="E57" s="3"/>
      <c r="F57" s="3"/>
      <c r="G57" s="3"/>
      <c r="H57" s="108"/>
      <c r="I57" s="108"/>
      <c r="J57" s="108"/>
      <c r="K57" s="108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2:45" x14ac:dyDescent="0.35">
      <c r="B58" s="3"/>
      <c r="C58" s="3"/>
      <c r="D58" s="3"/>
      <c r="E58" s="3"/>
      <c r="F58" s="3"/>
      <c r="G58" s="3"/>
      <c r="H58" s="108"/>
      <c r="I58" s="108"/>
      <c r="J58" s="108"/>
      <c r="K58" s="108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2:45" x14ac:dyDescent="0.35">
      <c r="B59" s="3"/>
      <c r="C59" s="3"/>
      <c r="D59" s="3"/>
      <c r="E59" s="3"/>
      <c r="F59" s="3"/>
      <c r="G59" s="3"/>
      <c r="H59" s="108"/>
      <c r="I59" s="108"/>
      <c r="J59" s="108"/>
      <c r="K59" s="108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2:45" x14ac:dyDescent="0.35">
      <c r="B60" s="3"/>
      <c r="C60" s="3"/>
      <c r="D60" s="3"/>
      <c r="E60" s="3"/>
      <c r="F60" s="3"/>
      <c r="G60" s="3"/>
      <c r="H60" s="108"/>
      <c r="I60" s="108"/>
      <c r="J60" s="108"/>
      <c r="K60" s="108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2:45" x14ac:dyDescent="0.35">
      <c r="B61" s="3"/>
      <c r="C61" s="3"/>
      <c r="D61" s="3"/>
      <c r="E61" s="3"/>
      <c r="F61" s="3"/>
      <c r="G61" s="3"/>
      <c r="H61" s="108"/>
      <c r="I61" s="108"/>
      <c r="J61" s="108"/>
      <c r="K61" s="108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2:45" x14ac:dyDescent="0.35">
      <c r="B62" s="3"/>
      <c r="C62" s="3"/>
      <c r="D62" s="3"/>
      <c r="E62" s="3"/>
      <c r="F62" s="3"/>
      <c r="G62" s="3"/>
      <c r="H62" s="108"/>
      <c r="I62" s="108"/>
      <c r="J62" s="108"/>
      <c r="K62" s="108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2:45" x14ac:dyDescent="0.35">
      <c r="B63" s="3"/>
      <c r="C63" s="3"/>
      <c r="D63" s="3"/>
      <c r="E63" s="3"/>
      <c r="F63" s="3"/>
      <c r="G63" s="3"/>
      <c r="H63" s="108"/>
      <c r="I63" s="108"/>
      <c r="J63" s="108"/>
      <c r="K63" s="108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300-000000000000}">
          <x14:formula1>
            <xm:f>'controlled vocabulary'!$Q$4:$Q$9</xm:f>
          </x14:formula1>
          <xm:sqref>L4:L1048576</xm:sqref>
        </x14:dataValidation>
        <x14:dataValidation type="list" allowBlank="1" showInputMessage="1" showErrorMessage="1" xr:uid="{00000000-0002-0000-0300-000001000000}">
          <x14:formula1>
            <xm:f>'controlled vocabulary'!$U$4:$U$9</xm:f>
          </x14:formula1>
          <xm:sqref>R4:R1048576</xm:sqref>
        </x14:dataValidation>
        <x14:dataValidation type="list" allowBlank="1" showInputMessage="1" showErrorMessage="1" xr:uid="{00000000-0002-0000-0300-000002000000}">
          <x14:formula1>
            <xm:f>'controlled vocabulary'!$T$4:$T$6</xm:f>
          </x14:formula1>
          <xm:sqref>P4:P1048576</xm:sqref>
        </x14:dataValidation>
        <x14:dataValidation type="list" allowBlank="1" showInputMessage="1" showErrorMessage="1" xr:uid="{00000000-0002-0000-0300-000003000000}">
          <x14:formula1>
            <xm:f>'controlled vocabulary'!$V$4:$V$6</xm:f>
          </x14:formula1>
          <xm:sqref>T4:T1048576</xm:sqref>
        </x14:dataValidation>
        <x14:dataValidation type="list" allowBlank="1" showInputMessage="1" showErrorMessage="1" xr:uid="{00000000-0002-0000-0300-000004000000}">
          <x14:formula1>
            <xm:f>'controlled vocabulary'!$Y$4:$Y$9</xm:f>
          </x14:formula1>
          <xm:sqref>AB4:AB1048576</xm:sqref>
        </x14:dataValidation>
        <x14:dataValidation type="list" allowBlank="1" showInputMessage="1" showErrorMessage="1" xr:uid="{00000000-0002-0000-0300-000005000000}">
          <x14:formula1>
            <xm:f>'controlled vocabulary'!$S$4:$S$8</xm:f>
          </x14:formula1>
          <xm:sqref>O4:O1048576</xm:sqref>
        </x14:dataValidation>
        <x14:dataValidation type="list" allowBlank="1" showInputMessage="1" showErrorMessage="1" xr:uid="{00000000-0002-0000-0300-000007000000}">
          <x14:formula1>
            <xm:f>'controlled vocabulary'!$R$4:$R$11</xm:f>
          </x14:formula1>
          <xm:sqref>N4:N1048576</xm:sqref>
        </x14:dataValidation>
        <x14:dataValidation type="list" allowBlank="1" showInputMessage="1" showErrorMessage="1" xr:uid="{00000000-0002-0000-0300-000006000000}">
          <x14:formula1>
            <xm:f>OFFSET(profile!$D$1,3,0,COUNTA(profile!$D:$D)-2,1)</xm:f>
          </x14:formula1>
          <xm:sqref>D4:D1048576</xm:sqref>
        </x14:dataValidation>
        <x14:dataValidation type="list" allowBlank="1" showInputMessage="1" showErrorMessage="1" xr:uid="{00000000-0002-0000-0300-000008000000}">
          <x14:formula1>
            <xm:f>OFFSET(metadata!A$1,3,0,COUNTA(metadata!A:A)-3,1)</xm:f>
          </x14:formula1>
          <xm:sqref>A4:A1048576</xm:sqref>
        </x14:dataValidation>
        <x14:dataValidation type="list" allowBlank="1" showInputMessage="1" showErrorMessage="1" xr:uid="{00000000-0002-0000-0300-000009000000}">
          <x14:formula1>
            <xm:f>OFFSET(site!B$1,3,0,COUNTA(metadata!B:B)-3,1)</xm:f>
          </x14:formula1>
          <xm:sqref>B4:B1048576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J987"/>
  <sheetViews>
    <sheetView topLeftCell="E1" workbookViewId="0">
      <selection activeCell="F18" sqref="F18"/>
    </sheetView>
  </sheetViews>
  <sheetFormatPr defaultColWidth="15.1796875" defaultRowHeight="15" customHeight="1" x14ac:dyDescent="0.35"/>
  <cols>
    <col min="1" max="1" width="14.6328125" style="3" customWidth="1"/>
    <col min="2" max="2" width="11.36328125" style="9" bestFit="1" customWidth="1"/>
    <col min="3" max="3" width="10.6328125" style="9" bestFit="1" customWidth="1"/>
    <col min="4" max="4" width="10.1796875" style="9" bestFit="1" customWidth="1"/>
    <col min="5" max="5" width="14.36328125" style="114" bestFit="1" customWidth="1"/>
    <col min="6" max="6" width="15.1796875" style="114" bestFit="1" customWidth="1"/>
    <col min="7" max="7" width="14.36328125" style="114" bestFit="1" customWidth="1"/>
    <col min="8" max="8" width="14.6328125" style="9" customWidth="1"/>
    <col min="9" max="9" width="8.453125" style="9" bestFit="1" customWidth="1"/>
    <col min="10" max="10" width="10" style="9" customWidth="1"/>
    <col min="11" max="11" width="9" style="3" customWidth="1"/>
    <col min="12" max="12" width="13.81640625" style="3" bestFit="1" customWidth="1"/>
    <col min="13" max="14" width="13" style="3" customWidth="1"/>
    <col min="15" max="16" width="10.453125" style="3" customWidth="1"/>
    <col min="17" max="17" width="9.81640625" style="3" bestFit="1" customWidth="1"/>
    <col min="18" max="18" width="10.6328125" style="3" customWidth="1"/>
    <col min="19" max="19" width="15.1796875" style="3" customWidth="1"/>
    <col min="20" max="20" width="14.1796875" style="3" customWidth="1"/>
    <col min="21" max="21" width="14.6328125" style="3" customWidth="1"/>
    <col min="22" max="22" width="14" style="3" customWidth="1"/>
    <col min="23" max="23" width="11" style="3" customWidth="1"/>
    <col min="24" max="24" width="13" style="3" customWidth="1"/>
    <col min="25" max="25" width="12" style="3" customWidth="1"/>
    <col min="26" max="26" width="18.1796875" style="3" customWidth="1"/>
    <col min="27" max="27" width="17.36328125" style="3" bestFit="1" customWidth="1"/>
    <col min="28" max="28" width="13" style="3" customWidth="1"/>
    <col min="29" max="30" width="16.6328125" style="3" customWidth="1"/>
    <col min="31" max="31" width="10.81640625" style="3" customWidth="1"/>
    <col min="32" max="32" width="10" style="3" customWidth="1"/>
    <col min="33" max="33" width="10.1796875" style="3" customWidth="1"/>
    <col min="34" max="34" width="21.1796875" style="6" customWidth="1"/>
    <col min="35" max="35" width="12.453125" style="3" customWidth="1"/>
    <col min="36" max="36" width="10.453125" style="3" customWidth="1"/>
    <col min="37" max="41" width="13.453125" style="3" customWidth="1"/>
    <col min="42" max="42" width="13.36328125" style="3" customWidth="1"/>
    <col min="43" max="43" width="8.6328125" style="3" customWidth="1"/>
    <col min="44" max="44" width="13.81640625" style="3" bestFit="1" customWidth="1"/>
    <col min="45" max="45" width="12.453125" style="3" bestFit="1" customWidth="1"/>
    <col min="46" max="46" width="8.6328125" style="6" customWidth="1"/>
    <col min="47" max="47" width="16" style="6" bestFit="1" customWidth="1"/>
    <col min="48" max="48" width="19" style="6" bestFit="1" customWidth="1"/>
    <col min="49" max="50" width="10.1796875" style="3" customWidth="1"/>
    <col min="51" max="51" width="8.453125" style="3" customWidth="1"/>
    <col min="52" max="53" width="11.453125" style="3" customWidth="1"/>
    <col min="54" max="54" width="8.1796875" style="3" customWidth="1"/>
    <col min="55" max="55" width="8.6328125" style="3" customWidth="1"/>
    <col min="56" max="56" width="11.1796875" style="3" customWidth="1"/>
    <col min="57" max="57" width="16.6328125" style="3" customWidth="1"/>
    <col min="58" max="58" width="10.6328125" style="3" customWidth="1"/>
    <col min="59" max="59" width="8.81640625" style="3" customWidth="1"/>
    <col min="60" max="61" width="13.453125" style="3" customWidth="1"/>
    <col min="62" max="62" width="15.6328125" style="3" customWidth="1"/>
    <col min="63" max="63" width="21.36328125" style="3" customWidth="1"/>
    <col min="64" max="64" width="13.453125" style="3" customWidth="1"/>
    <col min="65" max="65" width="14.1796875" style="3" customWidth="1"/>
    <col min="66" max="66" width="9" style="3" customWidth="1"/>
    <col min="67" max="67" width="15.1796875" style="3" customWidth="1"/>
    <col min="68" max="68" width="9.81640625" style="3" customWidth="1"/>
    <col min="69" max="69" width="10.1796875" style="3" customWidth="1"/>
    <col min="70" max="71" width="11.36328125" style="3" customWidth="1"/>
    <col min="72" max="72" width="19.6328125" style="3" customWidth="1"/>
    <col min="73" max="73" width="13.453125" style="3" customWidth="1"/>
    <col min="74" max="75" width="13.81640625" style="3" customWidth="1"/>
    <col min="76" max="76" width="12.6328125" style="3" customWidth="1"/>
    <col min="77" max="77" width="13.1796875" style="3" customWidth="1"/>
    <col min="78" max="78" width="26.1796875" style="3" customWidth="1"/>
    <col min="79" max="79" width="11.1796875" style="3" customWidth="1"/>
    <col min="80" max="80" width="9.453125" style="3" customWidth="1"/>
    <col min="81" max="81" width="12.6328125" style="3" customWidth="1"/>
    <col min="82" max="83" width="11.36328125" style="3" customWidth="1"/>
    <col min="84" max="84" width="25.6328125" style="3" customWidth="1"/>
    <col min="85" max="85" width="13" style="3" customWidth="1"/>
    <col min="86" max="86" width="12.6328125" style="3" customWidth="1"/>
    <col min="87" max="87" width="13" style="3" customWidth="1"/>
    <col min="88" max="88" width="12.1796875" style="3" customWidth="1"/>
    <col min="89" max="89" width="26.1796875" style="3" customWidth="1"/>
    <col min="90" max="90" width="11.1796875" style="3" customWidth="1"/>
    <col min="91" max="91" width="10.6328125" style="3" customWidth="1"/>
    <col min="92" max="92" width="10.81640625" style="3" customWidth="1"/>
    <col min="93" max="93" width="25.453125" style="3" customWidth="1"/>
    <col min="94" max="94" width="11.6328125" style="3" customWidth="1"/>
    <col min="95" max="95" width="15.453125" style="3" customWidth="1"/>
    <col min="96" max="102" width="15" style="3" bestFit="1" customWidth="1"/>
    <col min="103" max="103" width="18" style="3" customWidth="1"/>
    <col min="104" max="104" width="15" style="3" bestFit="1" customWidth="1"/>
    <col min="105" max="105" width="17.6328125" style="3" customWidth="1"/>
    <col min="106" max="107" width="15" style="3" bestFit="1" customWidth="1"/>
    <col min="108" max="110" width="15.1796875" style="3"/>
    <col min="111" max="111" width="12.453125" style="3" bestFit="1" customWidth="1"/>
    <col min="112" max="112" width="16" style="6" bestFit="1" customWidth="1"/>
    <col min="113" max="114" width="13" style="3" customWidth="1"/>
    <col min="115" max="16384" width="15.1796875" style="3"/>
  </cols>
  <sheetData>
    <row r="1" spans="1:114" s="33" customFormat="1" ht="27" customHeight="1" x14ac:dyDescent="0.35">
      <c r="A1" s="140" t="s">
        <v>637</v>
      </c>
      <c r="B1" s="140" t="s">
        <v>14</v>
      </c>
      <c r="C1" s="140" t="s">
        <v>427</v>
      </c>
      <c r="D1" s="140" t="s">
        <v>458</v>
      </c>
      <c r="E1" s="141" t="s">
        <v>708</v>
      </c>
      <c r="F1" s="142" t="s">
        <v>709</v>
      </c>
      <c r="G1" s="142" t="s">
        <v>710</v>
      </c>
      <c r="H1" s="143" t="s">
        <v>459</v>
      </c>
      <c r="I1" s="140" t="s">
        <v>460</v>
      </c>
      <c r="J1" s="140" t="s">
        <v>461</v>
      </c>
      <c r="K1" s="144" t="s">
        <v>462</v>
      </c>
      <c r="L1" s="144" t="s">
        <v>987</v>
      </c>
      <c r="M1" s="144" t="s">
        <v>463</v>
      </c>
      <c r="N1" s="144" t="s">
        <v>910</v>
      </c>
      <c r="O1" s="144" t="s">
        <v>464</v>
      </c>
      <c r="P1" s="144" t="s">
        <v>465</v>
      </c>
      <c r="Q1" s="145" t="s">
        <v>824</v>
      </c>
      <c r="R1" s="144" t="s">
        <v>466</v>
      </c>
      <c r="S1" s="146" t="s">
        <v>467</v>
      </c>
      <c r="T1" s="146" t="s">
        <v>468</v>
      </c>
      <c r="U1" s="146" t="s">
        <v>469</v>
      </c>
      <c r="V1" s="146" t="s">
        <v>470</v>
      </c>
      <c r="W1" s="146" t="s">
        <v>471</v>
      </c>
      <c r="X1" s="146" t="s">
        <v>472</v>
      </c>
      <c r="Y1" s="146" t="s">
        <v>473</v>
      </c>
      <c r="Z1" s="146" t="s">
        <v>474</v>
      </c>
      <c r="AA1" s="146" t="s">
        <v>905</v>
      </c>
      <c r="AB1" s="146" t="s">
        <v>475</v>
      </c>
      <c r="AC1" s="146" t="s">
        <v>476</v>
      </c>
      <c r="AD1" s="146" t="s">
        <v>917</v>
      </c>
      <c r="AE1" s="147" t="s">
        <v>477</v>
      </c>
      <c r="AF1" s="147" t="s">
        <v>478</v>
      </c>
      <c r="AG1" s="148" t="s">
        <v>479</v>
      </c>
      <c r="AH1" s="148" t="s">
        <v>480</v>
      </c>
      <c r="AI1" s="148" t="s">
        <v>481</v>
      </c>
      <c r="AJ1" s="148" t="s">
        <v>482</v>
      </c>
      <c r="AK1" s="148" t="s">
        <v>734</v>
      </c>
      <c r="AL1" s="148" t="s">
        <v>483</v>
      </c>
      <c r="AM1" s="148" t="s">
        <v>484</v>
      </c>
      <c r="AN1" s="148" t="s">
        <v>485</v>
      </c>
      <c r="AO1" s="148" t="s">
        <v>486</v>
      </c>
      <c r="AP1" s="148" t="s">
        <v>487</v>
      </c>
      <c r="AQ1" s="148" t="s">
        <v>735</v>
      </c>
      <c r="AR1" s="149" t="s">
        <v>488</v>
      </c>
      <c r="AS1" s="149" t="s">
        <v>489</v>
      </c>
      <c r="AT1" s="149" t="s">
        <v>490</v>
      </c>
      <c r="AU1" s="149" t="s">
        <v>491</v>
      </c>
      <c r="AV1" s="149" t="s">
        <v>492</v>
      </c>
      <c r="AW1" s="149" t="s">
        <v>493</v>
      </c>
      <c r="AX1" s="149" t="s">
        <v>816</v>
      </c>
      <c r="AY1" s="149" t="s">
        <v>494</v>
      </c>
      <c r="AZ1" s="149" t="s">
        <v>495</v>
      </c>
      <c r="BA1" s="149" t="s">
        <v>826</v>
      </c>
      <c r="BB1" s="150" t="s">
        <v>496</v>
      </c>
      <c r="BC1" s="150" t="s">
        <v>497</v>
      </c>
      <c r="BD1" s="150" t="s">
        <v>498</v>
      </c>
      <c r="BE1" s="150" t="s">
        <v>499</v>
      </c>
      <c r="BF1" s="150" t="s">
        <v>500</v>
      </c>
      <c r="BG1" s="150" t="s">
        <v>501</v>
      </c>
      <c r="BH1" s="150" t="s">
        <v>502</v>
      </c>
      <c r="BI1" s="150" t="s">
        <v>503</v>
      </c>
      <c r="BJ1" s="150" t="s">
        <v>504</v>
      </c>
      <c r="BK1" s="150" t="s">
        <v>505</v>
      </c>
      <c r="BL1" s="150" t="s">
        <v>506</v>
      </c>
      <c r="BM1" s="151" t="s">
        <v>507</v>
      </c>
      <c r="BN1" s="151" t="s">
        <v>508</v>
      </c>
      <c r="BO1" s="151" t="s">
        <v>509</v>
      </c>
      <c r="BP1" s="152" t="s">
        <v>736</v>
      </c>
      <c r="BQ1" s="152" t="s">
        <v>737</v>
      </c>
      <c r="BR1" s="152" t="s">
        <v>510</v>
      </c>
      <c r="BS1" s="152" t="s">
        <v>817</v>
      </c>
      <c r="BT1" s="152" t="s">
        <v>818</v>
      </c>
      <c r="BU1" s="152" t="s">
        <v>511</v>
      </c>
      <c r="BV1" s="152" t="s">
        <v>512</v>
      </c>
      <c r="BW1" s="152" t="s">
        <v>804</v>
      </c>
      <c r="BX1" s="152" t="s">
        <v>513</v>
      </c>
      <c r="BY1" s="152" t="s">
        <v>514</v>
      </c>
      <c r="BZ1" s="152" t="s">
        <v>515</v>
      </c>
      <c r="CA1" s="152" t="s">
        <v>516</v>
      </c>
      <c r="CB1" s="152" t="s">
        <v>517</v>
      </c>
      <c r="CC1" s="152" t="s">
        <v>518</v>
      </c>
      <c r="CD1" s="152" t="s">
        <v>519</v>
      </c>
      <c r="CE1" s="152" t="s">
        <v>806</v>
      </c>
      <c r="CF1" s="152" t="s">
        <v>520</v>
      </c>
      <c r="CG1" s="152" t="s">
        <v>521</v>
      </c>
      <c r="CH1" s="152" t="s">
        <v>522</v>
      </c>
      <c r="CI1" s="152" t="s">
        <v>523</v>
      </c>
      <c r="CJ1" s="152" t="s">
        <v>524</v>
      </c>
      <c r="CK1" s="152" t="s">
        <v>525</v>
      </c>
      <c r="CL1" s="152" t="s">
        <v>526</v>
      </c>
      <c r="CM1" s="152" t="s">
        <v>527</v>
      </c>
      <c r="CN1" s="152" t="s">
        <v>528</v>
      </c>
      <c r="CO1" s="152" t="s">
        <v>529</v>
      </c>
      <c r="CP1" s="153" t="s">
        <v>530</v>
      </c>
      <c r="CQ1" s="153" t="s">
        <v>531</v>
      </c>
      <c r="CR1" s="153" t="s">
        <v>532</v>
      </c>
      <c r="CS1" s="153" t="s">
        <v>533</v>
      </c>
      <c r="CT1" s="153" t="s">
        <v>534</v>
      </c>
      <c r="CU1" s="153" t="s">
        <v>738</v>
      </c>
      <c r="CV1" s="153" t="s">
        <v>535</v>
      </c>
      <c r="CW1" s="153" t="s">
        <v>536</v>
      </c>
      <c r="CX1" s="153" t="s">
        <v>537</v>
      </c>
      <c r="CY1" s="153" t="s">
        <v>538</v>
      </c>
      <c r="CZ1" s="153" t="s">
        <v>539</v>
      </c>
      <c r="DA1" s="153" t="s">
        <v>540</v>
      </c>
      <c r="DB1" s="153" t="s">
        <v>541</v>
      </c>
      <c r="DC1" s="153" t="s">
        <v>542</v>
      </c>
      <c r="DD1" s="89" t="s">
        <v>543</v>
      </c>
      <c r="DE1" s="89" t="s">
        <v>544</v>
      </c>
      <c r="DF1" s="154" t="s">
        <v>830</v>
      </c>
      <c r="DG1" s="154" t="s">
        <v>831</v>
      </c>
      <c r="DH1" s="154" t="s">
        <v>832</v>
      </c>
      <c r="DI1" s="154" t="s">
        <v>833</v>
      </c>
      <c r="DJ1" s="154" t="s">
        <v>829</v>
      </c>
    </row>
    <row r="2" spans="1:114" s="21" customFormat="1" ht="82" customHeight="1" x14ac:dyDescent="0.35">
      <c r="A2" s="22" t="s">
        <v>638</v>
      </c>
      <c r="B2" s="26" t="s">
        <v>16</v>
      </c>
      <c r="C2" s="26" t="s">
        <v>298</v>
      </c>
      <c r="D2" s="26" t="s">
        <v>56</v>
      </c>
      <c r="E2" s="106" t="s">
        <v>700</v>
      </c>
      <c r="F2" s="106" t="s">
        <v>701</v>
      </c>
      <c r="G2" s="106" t="s">
        <v>699</v>
      </c>
      <c r="H2" s="26" t="s">
        <v>299</v>
      </c>
      <c r="I2" s="26" t="s">
        <v>57</v>
      </c>
      <c r="J2" s="26" t="s">
        <v>58</v>
      </c>
      <c r="K2" s="22" t="s">
        <v>59</v>
      </c>
      <c r="L2" s="22" t="s">
        <v>988</v>
      </c>
      <c r="M2" s="22" t="s">
        <v>360</v>
      </c>
      <c r="N2" s="22" t="s">
        <v>911</v>
      </c>
      <c r="O2" s="22" t="s">
        <v>60</v>
      </c>
      <c r="P2" s="22" t="s">
        <v>61</v>
      </c>
      <c r="Q2" s="134" t="s">
        <v>825</v>
      </c>
      <c r="R2" s="22" t="s">
        <v>62</v>
      </c>
      <c r="S2" s="39" t="s">
        <v>63</v>
      </c>
      <c r="T2" s="39" t="s">
        <v>64</v>
      </c>
      <c r="U2" s="39" t="s">
        <v>65</v>
      </c>
      <c r="V2" s="39" t="s">
        <v>68</v>
      </c>
      <c r="W2" s="39" t="s">
        <v>69</v>
      </c>
      <c r="X2" s="39" t="s">
        <v>70</v>
      </c>
      <c r="Y2" s="39" t="s">
        <v>71</v>
      </c>
      <c r="Z2" s="39" t="s">
        <v>72</v>
      </c>
      <c r="AA2" s="39" t="s">
        <v>906</v>
      </c>
      <c r="AB2" s="39" t="s">
        <v>73</v>
      </c>
      <c r="AC2" s="39" t="s">
        <v>359</v>
      </c>
      <c r="AD2" s="39" t="s">
        <v>918</v>
      </c>
      <c r="AE2" s="40" t="s">
        <v>66</v>
      </c>
      <c r="AF2" s="40" t="s">
        <v>67</v>
      </c>
      <c r="AG2" s="41" t="s">
        <v>252</v>
      </c>
      <c r="AH2" s="41" t="s">
        <v>256</v>
      </c>
      <c r="AI2" s="41" t="s">
        <v>74</v>
      </c>
      <c r="AJ2" s="41" t="s">
        <v>75</v>
      </c>
      <c r="AK2" s="41" t="s">
        <v>76</v>
      </c>
      <c r="AL2" s="41" t="s">
        <v>260</v>
      </c>
      <c r="AM2" s="41" t="s">
        <v>261</v>
      </c>
      <c r="AN2" s="41" t="s">
        <v>262</v>
      </c>
      <c r="AO2" s="41" t="s">
        <v>263</v>
      </c>
      <c r="AP2" s="41" t="s">
        <v>77</v>
      </c>
      <c r="AQ2" s="41" t="s">
        <v>78</v>
      </c>
      <c r="AR2" s="42" t="s">
        <v>235</v>
      </c>
      <c r="AS2" s="42" t="s">
        <v>237</v>
      </c>
      <c r="AT2" s="42" t="s">
        <v>238</v>
      </c>
      <c r="AU2" s="42" t="s">
        <v>79</v>
      </c>
      <c r="AV2" s="42" t="s">
        <v>80</v>
      </c>
      <c r="AW2" s="42" t="s">
        <v>81</v>
      </c>
      <c r="AX2" s="42" t="s">
        <v>844</v>
      </c>
      <c r="AY2" s="42" t="s">
        <v>82</v>
      </c>
      <c r="AZ2" s="42" t="s">
        <v>83</v>
      </c>
      <c r="BA2" s="42" t="s">
        <v>845</v>
      </c>
      <c r="BB2" s="43" t="s">
        <v>84</v>
      </c>
      <c r="BC2" s="43" t="s">
        <v>85</v>
      </c>
      <c r="BD2" s="43" t="s">
        <v>86</v>
      </c>
      <c r="BE2" s="43" t="s">
        <v>87</v>
      </c>
      <c r="BF2" s="43" t="s">
        <v>88</v>
      </c>
      <c r="BG2" s="43" t="s">
        <v>89</v>
      </c>
      <c r="BH2" s="43" t="s">
        <v>358</v>
      </c>
      <c r="BI2" s="43" t="s">
        <v>357</v>
      </c>
      <c r="BJ2" s="43" t="s">
        <v>90</v>
      </c>
      <c r="BK2" s="43" t="s">
        <v>356</v>
      </c>
      <c r="BL2" s="43" t="s">
        <v>355</v>
      </c>
      <c r="BM2" s="45" t="s">
        <v>91</v>
      </c>
      <c r="BN2" s="45" t="s">
        <v>92</v>
      </c>
      <c r="BO2" s="45" t="s">
        <v>93</v>
      </c>
      <c r="BP2" s="46" t="s">
        <v>94</v>
      </c>
      <c r="BQ2" s="46" t="s">
        <v>353</v>
      </c>
      <c r="BR2" s="46" t="s">
        <v>354</v>
      </c>
      <c r="BS2" s="46" t="s">
        <v>819</v>
      </c>
      <c r="BT2" s="46" t="s">
        <v>846</v>
      </c>
      <c r="BU2" s="46" t="s">
        <v>95</v>
      </c>
      <c r="BV2" s="46" t="s">
        <v>96</v>
      </c>
      <c r="BW2" s="46" t="s">
        <v>805</v>
      </c>
      <c r="BX2" s="47" t="s">
        <v>97</v>
      </c>
      <c r="BY2" s="47" t="s">
        <v>98</v>
      </c>
      <c r="BZ2" s="46" t="s">
        <v>99</v>
      </c>
      <c r="CA2" s="46" t="s">
        <v>100</v>
      </c>
      <c r="CB2" s="46" t="s">
        <v>101</v>
      </c>
      <c r="CC2" s="47" t="s">
        <v>102</v>
      </c>
      <c r="CD2" s="47" t="s">
        <v>103</v>
      </c>
      <c r="CE2" s="47" t="s">
        <v>807</v>
      </c>
      <c r="CF2" s="46" t="s">
        <v>104</v>
      </c>
      <c r="CG2" s="46" t="s">
        <v>105</v>
      </c>
      <c r="CH2" s="46" t="s">
        <v>106</v>
      </c>
      <c r="CI2" s="47" t="s">
        <v>107</v>
      </c>
      <c r="CJ2" s="47" t="s">
        <v>108</v>
      </c>
      <c r="CK2" s="46" t="s">
        <v>109</v>
      </c>
      <c r="CL2" s="46" t="s">
        <v>110</v>
      </c>
      <c r="CM2" s="46" t="s">
        <v>111</v>
      </c>
      <c r="CN2" s="47" t="s">
        <v>112</v>
      </c>
      <c r="CO2" s="46" t="s">
        <v>113</v>
      </c>
      <c r="CP2" s="48" t="s">
        <v>114</v>
      </c>
      <c r="CQ2" s="48" t="s">
        <v>115</v>
      </c>
      <c r="CR2" s="48" t="s">
        <v>116</v>
      </c>
      <c r="CS2" s="48" t="s">
        <v>117</v>
      </c>
      <c r="CT2" s="48" t="s">
        <v>352</v>
      </c>
      <c r="CU2" s="48" t="s">
        <v>118</v>
      </c>
      <c r="CV2" s="48" t="s">
        <v>119</v>
      </c>
      <c r="CW2" s="48" t="s">
        <v>120</v>
      </c>
      <c r="CX2" s="48" t="s">
        <v>121</v>
      </c>
      <c r="CY2" s="48" t="s">
        <v>351</v>
      </c>
      <c r="CZ2" s="48" t="s">
        <v>122</v>
      </c>
      <c r="DA2" s="48" t="s">
        <v>123</v>
      </c>
      <c r="DB2" s="48" t="s">
        <v>124</v>
      </c>
      <c r="DC2" s="48" t="s">
        <v>125</v>
      </c>
      <c r="DD2" s="49" t="s">
        <v>253</v>
      </c>
      <c r="DE2" s="49" t="s">
        <v>257</v>
      </c>
      <c r="DF2" s="129" t="s">
        <v>834</v>
      </c>
      <c r="DG2" s="129" t="s">
        <v>835</v>
      </c>
      <c r="DH2" s="129" t="s">
        <v>836</v>
      </c>
      <c r="DI2" s="129" t="s">
        <v>837</v>
      </c>
      <c r="DJ2" s="129" t="s">
        <v>838</v>
      </c>
    </row>
    <row r="3" spans="1:114" s="33" customFormat="1" ht="34" customHeight="1" x14ac:dyDescent="0.35">
      <c r="A3" s="28" t="s">
        <v>331</v>
      </c>
      <c r="B3" s="27"/>
      <c r="C3" s="27"/>
      <c r="D3" s="27"/>
      <c r="E3" s="107" t="s">
        <v>697</v>
      </c>
      <c r="F3" s="107" t="s">
        <v>34</v>
      </c>
      <c r="G3" s="107" t="s">
        <v>698</v>
      </c>
      <c r="H3" s="85" t="s">
        <v>342</v>
      </c>
      <c r="I3" s="27" t="s">
        <v>40</v>
      </c>
      <c r="J3" s="27" t="s">
        <v>40</v>
      </c>
      <c r="K3" s="28"/>
      <c r="L3" s="174" t="s">
        <v>342</v>
      </c>
      <c r="M3" s="85" t="s">
        <v>342</v>
      </c>
      <c r="N3" s="85"/>
      <c r="O3" s="28"/>
      <c r="P3" s="28"/>
      <c r="Q3" s="31"/>
      <c r="R3" s="28" t="s">
        <v>350</v>
      </c>
      <c r="S3" s="51" t="s">
        <v>126</v>
      </c>
      <c r="T3" s="51" t="s">
        <v>126</v>
      </c>
      <c r="U3" s="51"/>
      <c r="V3" s="51" t="s">
        <v>37</v>
      </c>
      <c r="W3" s="51" t="s">
        <v>37</v>
      </c>
      <c r="X3" s="51" t="s">
        <v>37</v>
      </c>
      <c r="Y3" s="51" t="s">
        <v>37</v>
      </c>
      <c r="Z3" s="51" t="s">
        <v>34</v>
      </c>
      <c r="AA3" s="51" t="s">
        <v>126</v>
      </c>
      <c r="AB3" s="51" t="s">
        <v>127</v>
      </c>
      <c r="AC3" s="51"/>
      <c r="AD3" s="51" t="s">
        <v>342</v>
      </c>
      <c r="AE3" s="52"/>
      <c r="AF3" s="52"/>
      <c r="AG3" s="53"/>
      <c r="AH3" s="53" t="s">
        <v>255</v>
      </c>
      <c r="AI3" s="53" t="s">
        <v>128</v>
      </c>
      <c r="AJ3" s="53" t="s">
        <v>129</v>
      </c>
      <c r="AK3" s="53" t="s">
        <v>129</v>
      </c>
      <c r="AL3" s="53" t="s">
        <v>129</v>
      </c>
      <c r="AM3" s="53" t="s">
        <v>129</v>
      </c>
      <c r="AN3" s="53" t="s">
        <v>129</v>
      </c>
      <c r="AO3" s="53" t="s">
        <v>129</v>
      </c>
      <c r="AP3" s="53" t="s">
        <v>129</v>
      </c>
      <c r="AQ3" s="53" t="s">
        <v>37</v>
      </c>
      <c r="AR3" s="54" t="s">
        <v>37</v>
      </c>
      <c r="AS3" s="54" t="s">
        <v>37</v>
      </c>
      <c r="AT3" s="54" t="s">
        <v>37</v>
      </c>
      <c r="AU3" s="54" t="s">
        <v>45</v>
      </c>
      <c r="AV3" s="54" t="s">
        <v>45</v>
      </c>
      <c r="AW3" s="54" t="s">
        <v>37</v>
      </c>
      <c r="AX3" s="54" t="s">
        <v>45</v>
      </c>
      <c r="AY3" s="54" t="s">
        <v>130</v>
      </c>
      <c r="AZ3" s="54" t="s">
        <v>37</v>
      </c>
      <c r="BA3" s="54"/>
      <c r="BB3" s="55" t="s">
        <v>131</v>
      </c>
      <c r="BC3" s="55" t="s">
        <v>131</v>
      </c>
      <c r="BD3" s="55" t="s">
        <v>55</v>
      </c>
      <c r="BE3" s="55"/>
      <c r="BF3" s="55" t="s">
        <v>132</v>
      </c>
      <c r="BG3" s="55" t="s">
        <v>131</v>
      </c>
      <c r="BH3" s="55" t="s">
        <v>131</v>
      </c>
      <c r="BI3" s="55" t="s">
        <v>131</v>
      </c>
      <c r="BJ3" s="55"/>
      <c r="BK3" s="55"/>
      <c r="BL3" s="55" t="s">
        <v>131</v>
      </c>
      <c r="BM3" s="56" t="s">
        <v>133</v>
      </c>
      <c r="BN3" s="56" t="s">
        <v>134</v>
      </c>
      <c r="BO3" s="56" t="s">
        <v>134</v>
      </c>
      <c r="BP3" s="57"/>
      <c r="BQ3" s="57"/>
      <c r="BR3" s="57"/>
      <c r="BS3" s="57" t="s">
        <v>135</v>
      </c>
      <c r="BT3" s="57" t="s">
        <v>45</v>
      </c>
      <c r="BU3" s="57" t="s">
        <v>135</v>
      </c>
      <c r="BV3" s="57" t="s">
        <v>135</v>
      </c>
      <c r="BW3" s="57" t="s">
        <v>135</v>
      </c>
      <c r="BX3" s="57" t="s">
        <v>135</v>
      </c>
      <c r="BY3" s="57" t="s">
        <v>135</v>
      </c>
      <c r="BZ3" s="57"/>
      <c r="CA3" s="57" t="s">
        <v>135</v>
      </c>
      <c r="CB3" s="57" t="s">
        <v>135</v>
      </c>
      <c r="CC3" s="57" t="s">
        <v>135</v>
      </c>
      <c r="CD3" s="57" t="s">
        <v>135</v>
      </c>
      <c r="CE3" s="57" t="s">
        <v>135</v>
      </c>
      <c r="CF3" s="57"/>
      <c r="CG3" s="57" t="s">
        <v>135</v>
      </c>
      <c r="CH3" s="57" t="s">
        <v>135</v>
      </c>
      <c r="CI3" s="57" t="s">
        <v>135</v>
      </c>
      <c r="CJ3" s="57" t="s">
        <v>135</v>
      </c>
      <c r="CK3" s="57" t="s">
        <v>135</v>
      </c>
      <c r="CL3" s="57" t="s">
        <v>135</v>
      </c>
      <c r="CM3" s="57" t="s">
        <v>135</v>
      </c>
      <c r="CN3" s="57" t="s">
        <v>135</v>
      </c>
      <c r="CO3" s="57" t="s">
        <v>135</v>
      </c>
      <c r="CP3" s="58" t="s">
        <v>808</v>
      </c>
      <c r="CQ3" s="58" t="s">
        <v>808</v>
      </c>
      <c r="CR3" s="58" t="s">
        <v>808</v>
      </c>
      <c r="CS3" s="58" t="s">
        <v>808</v>
      </c>
      <c r="CT3" s="58" t="s">
        <v>808</v>
      </c>
      <c r="CU3" s="58" t="s">
        <v>808</v>
      </c>
      <c r="CV3" s="58" t="s">
        <v>808</v>
      </c>
      <c r="CW3" s="58" t="s">
        <v>808</v>
      </c>
      <c r="CX3" s="58" t="s">
        <v>808</v>
      </c>
      <c r="CY3" s="58" t="s">
        <v>808</v>
      </c>
      <c r="CZ3" s="58" t="s">
        <v>808</v>
      </c>
      <c r="DA3" s="58" t="s">
        <v>808</v>
      </c>
      <c r="DB3" s="58" t="s">
        <v>808</v>
      </c>
      <c r="DC3" s="58" t="s">
        <v>808</v>
      </c>
      <c r="DD3" s="58" t="s">
        <v>808</v>
      </c>
      <c r="DE3" s="58" t="s">
        <v>808</v>
      </c>
      <c r="DF3" s="130" t="s">
        <v>126</v>
      </c>
      <c r="DG3" s="130" t="s">
        <v>37</v>
      </c>
      <c r="DH3" s="130" t="s">
        <v>45</v>
      </c>
      <c r="DI3" s="130" t="s">
        <v>131</v>
      </c>
      <c r="DJ3" s="130"/>
    </row>
    <row r="4" spans="1:114" ht="15" customHeight="1" x14ac:dyDescent="0.35">
      <c r="B4" s="7"/>
      <c r="C4" s="8"/>
      <c r="D4" s="8"/>
      <c r="E4" s="113"/>
      <c r="F4" s="113"/>
      <c r="G4" s="113"/>
      <c r="H4" s="5"/>
      <c r="I4" s="8"/>
      <c r="J4" s="8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11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11"/>
      <c r="AU4" s="11"/>
      <c r="AV4" s="11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F4" s="5"/>
      <c r="DG4" s="5"/>
      <c r="DH4" s="11"/>
      <c r="DI4" s="5"/>
      <c r="DJ4" s="5"/>
    </row>
    <row r="5" spans="1:114" ht="14.5" x14ac:dyDescent="0.35">
      <c r="B5" s="7"/>
      <c r="C5" s="8"/>
      <c r="D5" s="8"/>
      <c r="E5" s="113"/>
      <c r="F5" s="113"/>
      <c r="G5" s="113"/>
      <c r="H5" s="5"/>
      <c r="I5" s="8"/>
      <c r="J5" s="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11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11"/>
      <c r="AU5" s="11"/>
      <c r="AV5" s="11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F5" s="5"/>
      <c r="DG5" s="5"/>
      <c r="DH5" s="11"/>
      <c r="DI5" s="5"/>
      <c r="DJ5" s="5"/>
    </row>
    <row r="6" spans="1:114" ht="14.5" x14ac:dyDescent="0.35">
      <c r="B6" s="7"/>
      <c r="C6" s="8"/>
      <c r="D6" s="8"/>
      <c r="E6" s="113"/>
      <c r="F6" s="113"/>
      <c r="G6" s="113"/>
      <c r="H6" s="5"/>
      <c r="I6" s="8"/>
      <c r="J6" s="8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11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11"/>
      <c r="AU6" s="11"/>
      <c r="AV6" s="11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F6" s="5"/>
      <c r="DG6" s="5"/>
      <c r="DH6" s="11"/>
      <c r="DI6" s="5"/>
      <c r="DJ6" s="5"/>
    </row>
    <row r="7" spans="1:114" ht="14.5" x14ac:dyDescent="0.35">
      <c r="B7" s="7"/>
      <c r="C7" s="8"/>
      <c r="D7" s="8"/>
      <c r="E7" s="113"/>
      <c r="F7" s="113"/>
      <c r="G7" s="113"/>
      <c r="H7" s="5"/>
      <c r="I7" s="8"/>
      <c r="J7" s="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11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11"/>
      <c r="AU7" s="11"/>
      <c r="AV7" s="11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F7" s="5"/>
      <c r="DG7" s="5"/>
      <c r="DH7" s="11"/>
      <c r="DI7" s="5"/>
      <c r="DJ7" s="5"/>
    </row>
    <row r="8" spans="1:114" ht="14.5" x14ac:dyDescent="0.35">
      <c r="B8" s="7"/>
      <c r="C8" s="8"/>
      <c r="D8" s="8"/>
      <c r="E8" s="113"/>
      <c r="F8" s="113"/>
      <c r="G8" s="113"/>
      <c r="H8" s="5"/>
      <c r="I8" s="8"/>
      <c r="J8" s="8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11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11"/>
      <c r="AU8" s="11"/>
      <c r="AV8" s="11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F8" s="5"/>
      <c r="DG8" s="5"/>
      <c r="DH8" s="11"/>
      <c r="DI8" s="5"/>
      <c r="DJ8" s="5"/>
    </row>
    <row r="9" spans="1:114" ht="14.5" x14ac:dyDescent="0.35">
      <c r="H9" s="5"/>
      <c r="AB9" s="5"/>
    </row>
    <row r="10" spans="1:114" ht="14.5" x14ac:dyDescent="0.35">
      <c r="H10" s="5"/>
      <c r="AB10" s="5"/>
    </row>
    <row r="11" spans="1:114" ht="14.5" x14ac:dyDescent="0.35">
      <c r="H11" s="5"/>
      <c r="AB11" s="5"/>
    </row>
    <row r="12" spans="1:114" ht="14.5" x14ac:dyDescent="0.35">
      <c r="H12" s="5"/>
      <c r="AB12" s="5"/>
    </row>
    <row r="13" spans="1:114" ht="14.5" x14ac:dyDescent="0.35">
      <c r="H13" s="5"/>
      <c r="AB13" s="5"/>
    </row>
    <row r="14" spans="1:114" ht="14.5" x14ac:dyDescent="0.35">
      <c r="H14" s="5"/>
      <c r="AB14" s="5"/>
    </row>
    <row r="15" spans="1:114" ht="14.5" x14ac:dyDescent="0.35">
      <c r="H15" s="5"/>
      <c r="AB15" s="5"/>
    </row>
    <row r="16" spans="1:114" ht="14.5" x14ac:dyDescent="0.35">
      <c r="H16" s="5"/>
      <c r="AB16" s="5"/>
    </row>
    <row r="17" spans="8:28" ht="14.5" x14ac:dyDescent="0.35">
      <c r="H17" s="5"/>
      <c r="AB17" s="5"/>
    </row>
    <row r="18" spans="8:28" ht="14.5" x14ac:dyDescent="0.35">
      <c r="H18" s="5"/>
      <c r="AB18" s="5"/>
    </row>
    <row r="19" spans="8:28" ht="14.5" x14ac:dyDescent="0.35">
      <c r="H19" s="5"/>
      <c r="AB19" s="5"/>
    </row>
    <row r="20" spans="8:28" ht="14.5" x14ac:dyDescent="0.35">
      <c r="H20" s="5"/>
      <c r="AB20" s="5"/>
    </row>
    <row r="21" spans="8:28" ht="14.5" x14ac:dyDescent="0.35">
      <c r="H21" s="5"/>
      <c r="AB21" s="5"/>
    </row>
    <row r="22" spans="8:28" ht="14.5" x14ac:dyDescent="0.35">
      <c r="H22" s="5"/>
      <c r="AB22" s="5"/>
    </row>
    <row r="23" spans="8:28" ht="14.5" x14ac:dyDescent="0.35">
      <c r="H23" s="5"/>
      <c r="AB23" s="5"/>
    </row>
    <row r="24" spans="8:28" ht="14.5" x14ac:dyDescent="0.35">
      <c r="H24" s="5"/>
      <c r="AB24" s="5"/>
    </row>
    <row r="25" spans="8:28" ht="14.5" x14ac:dyDescent="0.35">
      <c r="H25" s="5"/>
      <c r="AB25" s="5"/>
    </row>
    <row r="26" spans="8:28" ht="14.5" x14ac:dyDescent="0.35">
      <c r="H26" s="5"/>
      <c r="AB26" s="5"/>
    </row>
    <row r="27" spans="8:28" ht="14.5" x14ac:dyDescent="0.35">
      <c r="H27" s="5"/>
      <c r="AB27" s="5"/>
    </row>
    <row r="28" spans="8:28" ht="14.5" x14ac:dyDescent="0.35">
      <c r="H28" s="5"/>
      <c r="AB28" s="5"/>
    </row>
    <row r="29" spans="8:28" ht="14.5" x14ac:dyDescent="0.35">
      <c r="H29" s="5"/>
      <c r="AB29" s="5"/>
    </row>
    <row r="30" spans="8:28" ht="14.5" x14ac:dyDescent="0.35">
      <c r="H30" s="5"/>
      <c r="AB30" s="5"/>
    </row>
    <row r="31" spans="8:28" ht="14.5" x14ac:dyDescent="0.35">
      <c r="H31" s="5"/>
      <c r="AB31" s="5"/>
    </row>
    <row r="32" spans="8:28" ht="14.5" x14ac:dyDescent="0.35">
      <c r="H32" s="5"/>
      <c r="AB32" s="5"/>
    </row>
    <row r="33" spans="8:28" ht="14.5" x14ac:dyDescent="0.35">
      <c r="H33" s="5"/>
      <c r="AB33" s="5"/>
    </row>
    <row r="34" spans="8:28" ht="14.5" x14ac:dyDescent="0.35">
      <c r="H34" s="5"/>
      <c r="AB34" s="5"/>
    </row>
    <row r="35" spans="8:28" ht="14.5" x14ac:dyDescent="0.35">
      <c r="H35" s="5"/>
      <c r="AB35" s="5"/>
    </row>
    <row r="36" spans="8:28" ht="14.5" x14ac:dyDescent="0.35">
      <c r="H36" s="5"/>
      <c r="AB36" s="5"/>
    </row>
    <row r="37" spans="8:28" ht="14.5" x14ac:dyDescent="0.35">
      <c r="H37" s="5"/>
      <c r="AB37" s="5"/>
    </row>
    <row r="38" spans="8:28" ht="14.5" x14ac:dyDescent="0.35">
      <c r="H38" s="5"/>
      <c r="AB38" s="5"/>
    </row>
    <row r="39" spans="8:28" ht="14.5" x14ac:dyDescent="0.35">
      <c r="H39" s="5"/>
      <c r="AB39" s="5"/>
    </row>
    <row r="40" spans="8:28" ht="14.5" x14ac:dyDescent="0.35">
      <c r="H40" s="5"/>
      <c r="AB40" s="5"/>
    </row>
    <row r="41" spans="8:28" ht="14.5" x14ac:dyDescent="0.35">
      <c r="H41" s="5"/>
      <c r="AB41" s="5"/>
    </row>
    <row r="42" spans="8:28" ht="14.5" x14ac:dyDescent="0.35">
      <c r="H42" s="5"/>
      <c r="AB42" s="5"/>
    </row>
    <row r="43" spans="8:28" ht="14.5" x14ac:dyDescent="0.35">
      <c r="H43" s="5"/>
      <c r="AB43" s="5"/>
    </row>
    <row r="44" spans="8:28" ht="14.5" x14ac:dyDescent="0.35">
      <c r="H44" s="5"/>
      <c r="AB44" s="5"/>
    </row>
    <row r="45" spans="8:28" ht="14.5" x14ac:dyDescent="0.35">
      <c r="H45" s="5"/>
      <c r="AB45" s="5"/>
    </row>
    <row r="46" spans="8:28" ht="14.5" x14ac:dyDescent="0.35">
      <c r="H46" s="5"/>
      <c r="AB46" s="5"/>
    </row>
    <row r="47" spans="8:28" ht="14.5" x14ac:dyDescent="0.35">
      <c r="H47" s="5"/>
      <c r="AB47" s="5"/>
    </row>
    <row r="48" spans="8:28" ht="14.5" x14ac:dyDescent="0.35">
      <c r="H48" s="5"/>
      <c r="AB48" s="5"/>
    </row>
    <row r="49" spans="8:28" ht="14.5" x14ac:dyDescent="0.35">
      <c r="H49" s="5"/>
      <c r="AB49" s="5"/>
    </row>
    <row r="50" spans="8:28" ht="14.5" x14ac:dyDescent="0.35">
      <c r="H50" s="5"/>
      <c r="AB50" s="5"/>
    </row>
    <row r="51" spans="8:28" ht="14.5" x14ac:dyDescent="0.35">
      <c r="H51" s="5"/>
      <c r="AB51" s="5"/>
    </row>
    <row r="52" spans="8:28" ht="14.5" x14ac:dyDescent="0.35">
      <c r="H52" s="5"/>
      <c r="AB52" s="5"/>
    </row>
    <row r="53" spans="8:28" ht="14.5" x14ac:dyDescent="0.35">
      <c r="H53" s="5"/>
      <c r="AB53" s="5"/>
    </row>
    <row r="54" spans="8:28" ht="14.5" x14ac:dyDescent="0.35">
      <c r="H54" s="5"/>
      <c r="AB54" s="5"/>
    </row>
    <row r="55" spans="8:28" ht="14.5" x14ac:dyDescent="0.35">
      <c r="H55" s="5"/>
      <c r="AB55" s="5"/>
    </row>
    <row r="56" spans="8:28" ht="14.5" x14ac:dyDescent="0.35">
      <c r="H56" s="5"/>
      <c r="AB56" s="5"/>
    </row>
    <row r="57" spans="8:28" ht="14.5" x14ac:dyDescent="0.35">
      <c r="H57" s="5"/>
      <c r="AB57" s="5"/>
    </row>
    <row r="58" spans="8:28" ht="14.5" x14ac:dyDescent="0.35">
      <c r="H58" s="5"/>
      <c r="AB58" s="5"/>
    </row>
    <row r="59" spans="8:28" ht="14.5" x14ac:dyDescent="0.35">
      <c r="H59" s="5"/>
      <c r="AB59" s="5"/>
    </row>
    <row r="60" spans="8:28" ht="14.5" x14ac:dyDescent="0.35">
      <c r="H60" s="5"/>
      <c r="AB60" s="5"/>
    </row>
    <row r="61" spans="8:28" ht="14.5" x14ac:dyDescent="0.35">
      <c r="H61" s="5"/>
      <c r="AB61" s="5"/>
    </row>
    <row r="62" spans="8:28" ht="14.5" x14ac:dyDescent="0.35">
      <c r="H62" s="5"/>
      <c r="AB62" s="5"/>
    </row>
    <row r="63" spans="8:28" ht="14.5" x14ac:dyDescent="0.35">
      <c r="H63" s="5"/>
      <c r="AB63" s="5"/>
    </row>
    <row r="64" spans="8:28" ht="14.5" x14ac:dyDescent="0.35">
      <c r="H64" s="5"/>
      <c r="AB64" s="5"/>
    </row>
    <row r="65" spans="8:28" ht="14.5" x14ac:dyDescent="0.35">
      <c r="H65" s="5"/>
      <c r="AB65" s="5"/>
    </row>
    <row r="66" spans="8:28" ht="14.5" x14ac:dyDescent="0.35">
      <c r="H66" s="5"/>
      <c r="AB66" s="5"/>
    </row>
    <row r="67" spans="8:28" ht="14.5" x14ac:dyDescent="0.35">
      <c r="H67" s="5"/>
      <c r="AB67" s="5"/>
    </row>
    <row r="68" spans="8:28" ht="14.5" x14ac:dyDescent="0.35">
      <c r="H68" s="5"/>
      <c r="AB68" s="5"/>
    </row>
    <row r="69" spans="8:28" ht="14.5" x14ac:dyDescent="0.35">
      <c r="H69" s="5"/>
      <c r="AB69" s="5"/>
    </row>
    <row r="70" spans="8:28" ht="14.5" x14ac:dyDescent="0.35">
      <c r="H70" s="5"/>
      <c r="AB70" s="5"/>
    </row>
    <row r="71" spans="8:28" ht="14.5" x14ac:dyDescent="0.35">
      <c r="H71" s="5"/>
      <c r="AB71" s="5"/>
    </row>
    <row r="72" spans="8:28" ht="14.5" x14ac:dyDescent="0.35">
      <c r="H72" s="5"/>
      <c r="AB72" s="5"/>
    </row>
    <row r="73" spans="8:28" ht="14.5" x14ac:dyDescent="0.35">
      <c r="H73" s="5"/>
      <c r="AB73" s="5"/>
    </row>
    <row r="74" spans="8:28" ht="14.5" x14ac:dyDescent="0.35">
      <c r="H74" s="5"/>
      <c r="AB74" s="5"/>
    </row>
    <row r="75" spans="8:28" ht="14.5" x14ac:dyDescent="0.35">
      <c r="H75" s="5"/>
      <c r="AB75" s="5"/>
    </row>
    <row r="76" spans="8:28" ht="14.5" x14ac:dyDescent="0.35">
      <c r="H76" s="5"/>
      <c r="AB76" s="5"/>
    </row>
    <row r="77" spans="8:28" ht="14.5" x14ac:dyDescent="0.35">
      <c r="H77" s="5"/>
      <c r="AB77" s="5"/>
    </row>
    <row r="78" spans="8:28" ht="14.5" x14ac:dyDescent="0.35">
      <c r="H78" s="5"/>
      <c r="AB78" s="5"/>
    </row>
    <row r="79" spans="8:28" ht="14.5" x14ac:dyDescent="0.35">
      <c r="H79" s="5"/>
      <c r="AB79" s="5"/>
    </row>
    <row r="80" spans="8:28" ht="14.5" x14ac:dyDescent="0.35">
      <c r="H80" s="5"/>
      <c r="AB80" s="5"/>
    </row>
    <row r="81" spans="8:28" ht="14.5" x14ac:dyDescent="0.35">
      <c r="H81" s="5"/>
      <c r="AB81" s="5"/>
    </row>
    <row r="82" spans="8:28" ht="14.5" x14ac:dyDescent="0.35">
      <c r="H82" s="5"/>
      <c r="AB82" s="5"/>
    </row>
    <row r="83" spans="8:28" ht="14.5" x14ac:dyDescent="0.35">
      <c r="H83" s="5"/>
      <c r="AB83" s="5"/>
    </row>
    <row r="84" spans="8:28" ht="14.5" x14ac:dyDescent="0.35">
      <c r="H84" s="5"/>
      <c r="AB84" s="5"/>
    </row>
    <row r="85" spans="8:28" ht="14.5" x14ac:dyDescent="0.35">
      <c r="H85" s="5"/>
      <c r="AB85" s="5"/>
    </row>
    <row r="86" spans="8:28" ht="14.5" x14ac:dyDescent="0.35">
      <c r="H86" s="5"/>
      <c r="AB86" s="5"/>
    </row>
    <row r="87" spans="8:28" ht="14.5" x14ac:dyDescent="0.35">
      <c r="H87" s="5"/>
      <c r="AB87" s="5"/>
    </row>
    <row r="88" spans="8:28" ht="14.5" x14ac:dyDescent="0.35">
      <c r="H88" s="5"/>
      <c r="AB88" s="5"/>
    </row>
    <row r="89" spans="8:28" ht="14.5" x14ac:dyDescent="0.35">
      <c r="H89" s="5"/>
      <c r="AB89" s="5"/>
    </row>
    <row r="90" spans="8:28" ht="14.5" x14ac:dyDescent="0.35">
      <c r="H90" s="5"/>
      <c r="AB90" s="5"/>
    </row>
    <row r="91" spans="8:28" ht="14.5" x14ac:dyDescent="0.35">
      <c r="H91" s="5"/>
      <c r="AB91" s="5"/>
    </row>
    <row r="92" spans="8:28" ht="14.5" x14ac:dyDescent="0.35">
      <c r="H92" s="5"/>
      <c r="AB92" s="5"/>
    </row>
    <row r="93" spans="8:28" ht="14.5" x14ac:dyDescent="0.35">
      <c r="H93" s="5"/>
      <c r="AB93" s="5"/>
    </row>
    <row r="94" spans="8:28" ht="14.5" x14ac:dyDescent="0.35">
      <c r="H94" s="5"/>
      <c r="AB94" s="5"/>
    </row>
    <row r="95" spans="8:28" ht="14.5" x14ac:dyDescent="0.35">
      <c r="H95" s="5"/>
      <c r="AB95" s="5"/>
    </row>
    <row r="96" spans="8:28" ht="14.5" x14ac:dyDescent="0.35">
      <c r="H96" s="5"/>
      <c r="AB96" s="5"/>
    </row>
    <row r="97" spans="8:28" ht="14.5" x14ac:dyDescent="0.35">
      <c r="H97" s="5"/>
      <c r="AB97" s="5"/>
    </row>
    <row r="98" spans="8:28" ht="14.5" x14ac:dyDescent="0.35">
      <c r="H98" s="5"/>
    </row>
    <row r="99" spans="8:28" ht="14.5" x14ac:dyDescent="0.35">
      <c r="H99" s="5"/>
    </row>
    <row r="100" spans="8:28" ht="14.5" x14ac:dyDescent="0.35">
      <c r="H100" s="5"/>
    </row>
    <row r="101" spans="8:28" ht="14.5" x14ac:dyDescent="0.35">
      <c r="H101" s="5"/>
    </row>
    <row r="102" spans="8:28" ht="14.5" x14ac:dyDescent="0.35">
      <c r="H102" s="5"/>
    </row>
    <row r="103" spans="8:28" ht="14.5" x14ac:dyDescent="0.35">
      <c r="H103" s="5"/>
    </row>
    <row r="104" spans="8:28" ht="14.5" x14ac:dyDescent="0.35">
      <c r="H104" s="5"/>
    </row>
    <row r="105" spans="8:28" ht="14.5" x14ac:dyDescent="0.35">
      <c r="H105" s="5"/>
    </row>
    <row r="106" spans="8:28" ht="14.5" x14ac:dyDescent="0.35">
      <c r="H106" s="5"/>
    </row>
    <row r="107" spans="8:28" ht="14.5" x14ac:dyDescent="0.35">
      <c r="H107" s="5"/>
    </row>
    <row r="108" spans="8:28" ht="14.5" x14ac:dyDescent="0.35">
      <c r="H108" s="5"/>
    </row>
    <row r="109" spans="8:28" ht="14.5" x14ac:dyDescent="0.35">
      <c r="H109" s="5"/>
    </row>
    <row r="110" spans="8:28" ht="14.5" x14ac:dyDescent="0.35">
      <c r="H110" s="5"/>
    </row>
    <row r="111" spans="8:28" ht="14.5" x14ac:dyDescent="0.35">
      <c r="H111" s="5"/>
    </row>
    <row r="112" spans="8:28" ht="14.5" x14ac:dyDescent="0.35">
      <c r="H112" s="5"/>
    </row>
    <row r="113" spans="8:8" ht="14.5" x14ac:dyDescent="0.35">
      <c r="H113" s="5"/>
    </row>
    <row r="114" spans="8:8" ht="14.5" x14ac:dyDescent="0.35">
      <c r="H114" s="5"/>
    </row>
    <row r="115" spans="8:8" ht="14.5" x14ac:dyDescent="0.35">
      <c r="H115" s="5"/>
    </row>
    <row r="116" spans="8:8" ht="14.5" x14ac:dyDescent="0.35">
      <c r="H116" s="5"/>
    </row>
    <row r="117" spans="8:8" ht="14.5" x14ac:dyDescent="0.35">
      <c r="H117" s="5"/>
    </row>
    <row r="118" spans="8:8" ht="14.5" x14ac:dyDescent="0.35">
      <c r="H118" s="5"/>
    </row>
    <row r="119" spans="8:8" ht="14.5" x14ac:dyDescent="0.35">
      <c r="H119" s="5"/>
    </row>
    <row r="120" spans="8:8" ht="14.5" x14ac:dyDescent="0.35">
      <c r="H120" s="5"/>
    </row>
    <row r="121" spans="8:8" ht="14.5" x14ac:dyDescent="0.35">
      <c r="H121" s="5"/>
    </row>
    <row r="122" spans="8:8" ht="14.5" x14ac:dyDescent="0.35">
      <c r="H122" s="5"/>
    </row>
    <row r="123" spans="8:8" ht="14.5" x14ac:dyDescent="0.35">
      <c r="H123" s="5"/>
    </row>
    <row r="124" spans="8:8" ht="14.5" x14ac:dyDescent="0.35">
      <c r="H124" s="5"/>
    </row>
    <row r="125" spans="8:8" ht="14.5" x14ac:dyDescent="0.35">
      <c r="H125" s="5"/>
    </row>
    <row r="126" spans="8:8" ht="14.5" x14ac:dyDescent="0.35">
      <c r="H126" s="5"/>
    </row>
    <row r="127" spans="8:8" ht="14.5" x14ac:dyDescent="0.35">
      <c r="H127" s="5"/>
    </row>
    <row r="128" spans="8:8" ht="14.5" x14ac:dyDescent="0.35">
      <c r="H128" s="5"/>
    </row>
    <row r="129" spans="8:8" ht="14.5" x14ac:dyDescent="0.35">
      <c r="H129" s="5"/>
    </row>
    <row r="130" spans="8:8" ht="14.5" x14ac:dyDescent="0.35">
      <c r="H130" s="5"/>
    </row>
    <row r="131" spans="8:8" ht="14.5" x14ac:dyDescent="0.35">
      <c r="H131" s="5"/>
    </row>
    <row r="132" spans="8:8" ht="14.5" x14ac:dyDescent="0.35">
      <c r="H132" s="5"/>
    </row>
    <row r="133" spans="8:8" ht="14.5" x14ac:dyDescent="0.35">
      <c r="H133" s="5"/>
    </row>
    <row r="134" spans="8:8" ht="14.5" x14ac:dyDescent="0.35">
      <c r="H134" s="5"/>
    </row>
    <row r="135" spans="8:8" ht="14.5" x14ac:dyDescent="0.35">
      <c r="H135" s="5"/>
    </row>
    <row r="136" spans="8:8" ht="14.5" x14ac:dyDescent="0.35">
      <c r="H136" s="5"/>
    </row>
    <row r="137" spans="8:8" ht="14.5" x14ac:dyDescent="0.35">
      <c r="H137" s="5"/>
    </row>
    <row r="138" spans="8:8" ht="14.5" x14ac:dyDescent="0.35">
      <c r="H138" s="5"/>
    </row>
    <row r="139" spans="8:8" ht="14.5" x14ac:dyDescent="0.35">
      <c r="H139" s="5"/>
    </row>
    <row r="140" spans="8:8" ht="14.5" x14ac:dyDescent="0.35">
      <c r="H140" s="5"/>
    </row>
    <row r="141" spans="8:8" ht="14.5" x14ac:dyDescent="0.35">
      <c r="H141" s="5"/>
    </row>
    <row r="142" spans="8:8" ht="14.5" x14ac:dyDescent="0.35">
      <c r="H142" s="5"/>
    </row>
    <row r="143" spans="8:8" ht="14.5" x14ac:dyDescent="0.35">
      <c r="H143" s="5"/>
    </row>
    <row r="144" spans="8:8" ht="14.5" x14ac:dyDescent="0.35">
      <c r="H144" s="5"/>
    </row>
    <row r="145" spans="8:8" ht="14.5" x14ac:dyDescent="0.35">
      <c r="H145" s="5"/>
    </row>
    <row r="146" spans="8:8" ht="14.5" x14ac:dyDescent="0.35">
      <c r="H146" s="5"/>
    </row>
    <row r="147" spans="8:8" ht="14.5" x14ac:dyDescent="0.35">
      <c r="H147" s="5"/>
    </row>
    <row r="148" spans="8:8" ht="14.5" x14ac:dyDescent="0.35">
      <c r="H148" s="5"/>
    </row>
    <row r="149" spans="8:8" ht="14.5" x14ac:dyDescent="0.35">
      <c r="H149" s="5"/>
    </row>
    <row r="150" spans="8:8" ht="14.5" x14ac:dyDescent="0.35">
      <c r="H150" s="5"/>
    </row>
    <row r="151" spans="8:8" ht="14.5" x14ac:dyDescent="0.35">
      <c r="H151" s="5"/>
    </row>
    <row r="152" spans="8:8" ht="14.5" x14ac:dyDescent="0.35">
      <c r="H152" s="5"/>
    </row>
    <row r="153" spans="8:8" ht="14.5" x14ac:dyDescent="0.35">
      <c r="H153" s="5"/>
    </row>
    <row r="154" spans="8:8" ht="14.5" x14ac:dyDescent="0.35">
      <c r="H154" s="5"/>
    </row>
    <row r="155" spans="8:8" ht="14.5" x14ac:dyDescent="0.35">
      <c r="H155" s="5"/>
    </row>
    <row r="156" spans="8:8" ht="14.5" x14ac:dyDescent="0.35">
      <c r="H156" s="5"/>
    </row>
    <row r="157" spans="8:8" ht="14.5" x14ac:dyDescent="0.35">
      <c r="H157" s="5"/>
    </row>
    <row r="158" spans="8:8" ht="14.5" x14ac:dyDescent="0.35">
      <c r="H158" s="5"/>
    </row>
    <row r="159" spans="8:8" ht="14.5" x14ac:dyDescent="0.35">
      <c r="H159" s="5"/>
    </row>
    <row r="160" spans="8:8" ht="14.5" x14ac:dyDescent="0.35">
      <c r="H160" s="5"/>
    </row>
    <row r="161" spans="8:8" ht="14.5" x14ac:dyDescent="0.35">
      <c r="H161" s="5"/>
    </row>
    <row r="162" spans="8:8" ht="14.5" x14ac:dyDescent="0.35">
      <c r="H162" s="5"/>
    </row>
    <row r="163" spans="8:8" ht="14.5" x14ac:dyDescent="0.35">
      <c r="H163" s="5"/>
    </row>
    <row r="164" spans="8:8" ht="14.5" x14ac:dyDescent="0.35">
      <c r="H164" s="5"/>
    </row>
    <row r="165" spans="8:8" ht="14.5" x14ac:dyDescent="0.35">
      <c r="H165" s="5"/>
    </row>
    <row r="166" spans="8:8" ht="14.5" x14ac:dyDescent="0.35">
      <c r="H166" s="5"/>
    </row>
    <row r="167" spans="8:8" ht="14.5" x14ac:dyDescent="0.35">
      <c r="H167" s="5"/>
    </row>
    <row r="168" spans="8:8" ht="14.5" x14ac:dyDescent="0.35">
      <c r="H168" s="5"/>
    </row>
    <row r="169" spans="8:8" ht="14.5" x14ac:dyDescent="0.35">
      <c r="H169" s="5"/>
    </row>
    <row r="170" spans="8:8" ht="14.5" x14ac:dyDescent="0.35">
      <c r="H170" s="5"/>
    </row>
    <row r="171" spans="8:8" ht="14.5" x14ac:dyDescent="0.35">
      <c r="H171" s="5"/>
    </row>
    <row r="172" spans="8:8" ht="14.5" x14ac:dyDescent="0.35">
      <c r="H172" s="5"/>
    </row>
    <row r="173" spans="8:8" ht="14.5" x14ac:dyDescent="0.35">
      <c r="H173" s="5"/>
    </row>
    <row r="174" spans="8:8" ht="14.5" x14ac:dyDescent="0.35">
      <c r="H174" s="5"/>
    </row>
    <row r="175" spans="8:8" ht="14.5" x14ac:dyDescent="0.35">
      <c r="H175" s="5"/>
    </row>
    <row r="176" spans="8:8" ht="14.5" x14ac:dyDescent="0.35">
      <c r="H176" s="5"/>
    </row>
    <row r="177" spans="8:8" ht="14.5" x14ac:dyDescent="0.35">
      <c r="H177" s="5"/>
    </row>
    <row r="178" spans="8:8" ht="14.5" x14ac:dyDescent="0.35">
      <c r="H178" s="5"/>
    </row>
    <row r="179" spans="8:8" ht="14.5" x14ac:dyDescent="0.35">
      <c r="H179" s="5"/>
    </row>
    <row r="180" spans="8:8" ht="14.5" x14ac:dyDescent="0.35">
      <c r="H180" s="5"/>
    </row>
    <row r="181" spans="8:8" ht="14.5" x14ac:dyDescent="0.35">
      <c r="H181" s="5"/>
    </row>
    <row r="182" spans="8:8" ht="14.5" x14ac:dyDescent="0.35">
      <c r="H182" s="5"/>
    </row>
    <row r="183" spans="8:8" ht="14.5" x14ac:dyDescent="0.35">
      <c r="H183" s="5"/>
    </row>
    <row r="184" spans="8:8" ht="14.5" x14ac:dyDescent="0.35">
      <c r="H184" s="5"/>
    </row>
    <row r="185" spans="8:8" ht="14.5" x14ac:dyDescent="0.35">
      <c r="H185" s="5"/>
    </row>
    <row r="186" spans="8:8" ht="14.5" x14ac:dyDescent="0.35">
      <c r="H186" s="5"/>
    </row>
    <row r="187" spans="8:8" ht="14.5" x14ac:dyDescent="0.35">
      <c r="H187" s="5"/>
    </row>
    <row r="188" spans="8:8" ht="14.5" x14ac:dyDescent="0.35">
      <c r="H188" s="5"/>
    </row>
    <row r="189" spans="8:8" ht="14.5" x14ac:dyDescent="0.35">
      <c r="H189" s="5"/>
    </row>
    <row r="190" spans="8:8" ht="14.5" x14ac:dyDescent="0.35">
      <c r="H190" s="5"/>
    </row>
    <row r="191" spans="8:8" ht="14.5" x14ac:dyDescent="0.35">
      <c r="H191" s="5"/>
    </row>
    <row r="192" spans="8:8" ht="14.5" x14ac:dyDescent="0.35">
      <c r="H192" s="5"/>
    </row>
    <row r="193" spans="8:8" ht="14.5" x14ac:dyDescent="0.35">
      <c r="H193" s="5"/>
    </row>
    <row r="194" spans="8:8" ht="14.5" x14ac:dyDescent="0.35">
      <c r="H194" s="5"/>
    </row>
    <row r="195" spans="8:8" ht="14.5" x14ac:dyDescent="0.35">
      <c r="H195" s="5"/>
    </row>
    <row r="196" spans="8:8" ht="14.5" x14ac:dyDescent="0.35"/>
    <row r="197" spans="8:8" ht="14.5" x14ac:dyDescent="0.35"/>
    <row r="198" spans="8:8" ht="14.5" x14ac:dyDescent="0.35"/>
    <row r="199" spans="8:8" ht="14.5" x14ac:dyDescent="0.35"/>
    <row r="200" spans="8:8" ht="14.5" x14ac:dyDescent="0.35"/>
    <row r="201" spans="8:8" ht="14.5" x14ac:dyDescent="0.35"/>
    <row r="202" spans="8:8" ht="14.5" x14ac:dyDescent="0.35"/>
    <row r="203" spans="8:8" ht="14.5" x14ac:dyDescent="0.35"/>
    <row r="204" spans="8:8" ht="14.5" x14ac:dyDescent="0.35"/>
    <row r="205" spans="8:8" ht="14.5" x14ac:dyDescent="0.35"/>
    <row r="206" spans="8:8" ht="14.5" x14ac:dyDescent="0.35"/>
    <row r="207" spans="8:8" ht="14.5" x14ac:dyDescent="0.35"/>
    <row r="208" spans="8:8" ht="14.5" x14ac:dyDescent="0.35"/>
    <row r="209" ht="14.5" x14ac:dyDescent="0.35"/>
    <row r="210" ht="14.5" x14ac:dyDescent="0.35"/>
    <row r="211" ht="14.5" x14ac:dyDescent="0.35"/>
    <row r="212" ht="14.5" x14ac:dyDescent="0.35"/>
    <row r="213" ht="14.5" x14ac:dyDescent="0.35"/>
    <row r="214" ht="14.5" x14ac:dyDescent="0.35"/>
    <row r="215" ht="14.5" x14ac:dyDescent="0.35"/>
    <row r="216" ht="14.5" x14ac:dyDescent="0.35"/>
    <row r="217" ht="14.5" x14ac:dyDescent="0.35"/>
    <row r="218" ht="14.5" x14ac:dyDescent="0.35"/>
    <row r="219" ht="14.5" x14ac:dyDescent="0.35"/>
    <row r="220" ht="14.5" x14ac:dyDescent="0.35"/>
    <row r="221" ht="14.5" x14ac:dyDescent="0.35"/>
    <row r="222" ht="14.5" x14ac:dyDescent="0.35"/>
    <row r="223" ht="14.5" x14ac:dyDescent="0.35"/>
    <row r="224" ht="14.5" x14ac:dyDescent="0.35"/>
    <row r="225" ht="14.5" x14ac:dyDescent="0.35"/>
    <row r="226" ht="14.5" x14ac:dyDescent="0.35"/>
    <row r="227" ht="14.5" x14ac:dyDescent="0.35"/>
    <row r="228" ht="14.5" x14ac:dyDescent="0.35"/>
    <row r="229" ht="14.5" x14ac:dyDescent="0.35"/>
    <row r="230" ht="14.5" x14ac:dyDescent="0.35"/>
    <row r="231" ht="14.5" x14ac:dyDescent="0.35"/>
    <row r="232" ht="14.5" x14ac:dyDescent="0.35"/>
    <row r="233" ht="14.5" x14ac:dyDescent="0.35"/>
    <row r="234" ht="14.5" x14ac:dyDescent="0.35"/>
    <row r="235" ht="14.5" x14ac:dyDescent="0.35"/>
    <row r="236" ht="14.5" x14ac:dyDescent="0.35"/>
    <row r="237" ht="14.5" x14ac:dyDescent="0.35"/>
    <row r="238" ht="14.5" x14ac:dyDescent="0.35"/>
    <row r="239" ht="14.5" x14ac:dyDescent="0.35"/>
    <row r="240" ht="14.5" x14ac:dyDescent="0.35"/>
    <row r="241" ht="14.5" x14ac:dyDescent="0.35"/>
    <row r="242" ht="14.5" x14ac:dyDescent="0.35"/>
    <row r="243" ht="14.5" x14ac:dyDescent="0.35"/>
    <row r="244" ht="14.5" x14ac:dyDescent="0.35"/>
    <row r="245" ht="14.5" x14ac:dyDescent="0.35"/>
    <row r="246" ht="14.5" x14ac:dyDescent="0.35"/>
    <row r="247" ht="14.5" x14ac:dyDescent="0.35"/>
    <row r="248" ht="14.5" x14ac:dyDescent="0.35"/>
    <row r="249" ht="14.5" x14ac:dyDescent="0.35"/>
    <row r="250" ht="14.5" x14ac:dyDescent="0.35"/>
    <row r="251" ht="14.5" x14ac:dyDescent="0.35"/>
    <row r="252" ht="14.5" x14ac:dyDescent="0.35"/>
    <row r="253" ht="14.5" x14ac:dyDescent="0.35"/>
    <row r="254" ht="14.5" x14ac:dyDescent="0.35"/>
    <row r="255" ht="14.5" x14ac:dyDescent="0.35"/>
    <row r="256" ht="14.5" x14ac:dyDescent="0.35"/>
    <row r="257" ht="14.5" x14ac:dyDescent="0.35"/>
    <row r="258" ht="14.5" x14ac:dyDescent="0.35"/>
    <row r="259" ht="14.5" x14ac:dyDescent="0.35"/>
    <row r="260" ht="14.5" x14ac:dyDescent="0.35"/>
    <row r="261" ht="14.5" x14ac:dyDescent="0.35"/>
    <row r="262" ht="14.5" x14ac:dyDescent="0.35"/>
    <row r="263" ht="14.5" x14ac:dyDescent="0.35"/>
    <row r="264" ht="14.5" x14ac:dyDescent="0.35"/>
    <row r="265" ht="14.5" x14ac:dyDescent="0.35"/>
    <row r="266" ht="14.5" x14ac:dyDescent="0.35"/>
    <row r="267" ht="14.5" x14ac:dyDescent="0.35"/>
    <row r="268" ht="14.5" x14ac:dyDescent="0.35"/>
    <row r="269" ht="14.5" x14ac:dyDescent="0.35"/>
    <row r="270" ht="14.5" x14ac:dyDescent="0.35"/>
    <row r="271" ht="14.5" x14ac:dyDescent="0.35"/>
    <row r="272" ht="14.5" x14ac:dyDescent="0.35"/>
    <row r="273" ht="14.5" x14ac:dyDescent="0.35"/>
    <row r="274" ht="14.5" x14ac:dyDescent="0.35"/>
    <row r="275" ht="14.5" x14ac:dyDescent="0.35"/>
    <row r="276" ht="14.5" x14ac:dyDescent="0.35"/>
    <row r="277" ht="14.5" x14ac:dyDescent="0.35"/>
    <row r="278" ht="14.5" x14ac:dyDescent="0.35"/>
    <row r="279" ht="14.5" x14ac:dyDescent="0.35"/>
    <row r="280" ht="14.5" x14ac:dyDescent="0.35"/>
    <row r="281" ht="14.5" x14ac:dyDescent="0.35"/>
    <row r="282" ht="14.5" x14ac:dyDescent="0.35"/>
    <row r="283" ht="14.5" x14ac:dyDescent="0.35"/>
    <row r="284" ht="14.5" x14ac:dyDescent="0.35"/>
    <row r="285" ht="14.5" x14ac:dyDescent="0.35"/>
    <row r="286" ht="14.5" x14ac:dyDescent="0.35"/>
    <row r="287" ht="14.5" x14ac:dyDescent="0.35"/>
    <row r="288" ht="14.5" x14ac:dyDescent="0.35"/>
    <row r="289" ht="14.5" x14ac:dyDescent="0.35"/>
    <row r="290" ht="14.5" x14ac:dyDescent="0.35"/>
    <row r="291" ht="14.5" x14ac:dyDescent="0.35"/>
    <row r="292" ht="14.5" x14ac:dyDescent="0.35"/>
    <row r="293" ht="14.5" x14ac:dyDescent="0.35"/>
    <row r="294" ht="14.5" x14ac:dyDescent="0.35"/>
    <row r="295" ht="14.5" x14ac:dyDescent="0.35"/>
    <row r="296" ht="14.5" x14ac:dyDescent="0.35"/>
    <row r="297" ht="14.5" x14ac:dyDescent="0.35"/>
    <row r="298" ht="14.5" x14ac:dyDescent="0.35"/>
    <row r="299" ht="14.5" x14ac:dyDescent="0.35"/>
    <row r="300" ht="14.5" x14ac:dyDescent="0.35"/>
    <row r="301" ht="14.5" x14ac:dyDescent="0.35"/>
    <row r="302" ht="14.5" x14ac:dyDescent="0.35"/>
    <row r="303" ht="14.5" x14ac:dyDescent="0.35"/>
    <row r="304" ht="14.5" x14ac:dyDescent="0.35"/>
    <row r="305" ht="14.5" x14ac:dyDescent="0.35"/>
    <row r="306" ht="14.5" x14ac:dyDescent="0.35"/>
    <row r="307" ht="14.5" x14ac:dyDescent="0.35"/>
    <row r="308" ht="14.5" x14ac:dyDescent="0.35"/>
    <row r="309" ht="14.5" x14ac:dyDescent="0.35"/>
    <row r="310" ht="14.5" x14ac:dyDescent="0.35"/>
    <row r="311" ht="14.5" x14ac:dyDescent="0.35"/>
    <row r="312" ht="14.5" x14ac:dyDescent="0.35"/>
    <row r="313" ht="14.5" x14ac:dyDescent="0.35"/>
    <row r="314" ht="14.5" x14ac:dyDescent="0.35"/>
    <row r="315" ht="14.5" x14ac:dyDescent="0.35"/>
    <row r="316" ht="14.5" x14ac:dyDescent="0.35"/>
    <row r="317" ht="14.5" x14ac:dyDescent="0.35"/>
    <row r="318" ht="14.5" x14ac:dyDescent="0.35"/>
    <row r="319" ht="14.5" x14ac:dyDescent="0.35"/>
    <row r="320" ht="14.5" x14ac:dyDescent="0.35"/>
    <row r="321" ht="14.5" x14ac:dyDescent="0.35"/>
    <row r="322" ht="14.5" x14ac:dyDescent="0.35"/>
    <row r="323" ht="14.5" x14ac:dyDescent="0.35"/>
    <row r="324" ht="14.5" x14ac:dyDescent="0.35"/>
    <row r="325" ht="14.5" x14ac:dyDescent="0.35"/>
    <row r="326" ht="14.5" x14ac:dyDescent="0.35"/>
    <row r="327" ht="14.5" x14ac:dyDescent="0.35"/>
    <row r="328" ht="14.5" x14ac:dyDescent="0.35"/>
    <row r="329" ht="14.5" x14ac:dyDescent="0.35"/>
    <row r="330" ht="14.5" x14ac:dyDescent="0.35"/>
    <row r="331" ht="14.5" x14ac:dyDescent="0.35"/>
    <row r="332" ht="14.5" x14ac:dyDescent="0.35"/>
    <row r="333" ht="14.5" x14ac:dyDescent="0.35"/>
    <row r="334" ht="14.5" x14ac:dyDescent="0.35"/>
    <row r="335" ht="14.5" x14ac:dyDescent="0.35"/>
    <row r="336" ht="14.5" x14ac:dyDescent="0.35"/>
    <row r="337" ht="14.5" x14ac:dyDescent="0.35"/>
    <row r="338" ht="14.5" x14ac:dyDescent="0.35"/>
    <row r="339" ht="14.5" x14ac:dyDescent="0.35"/>
    <row r="340" ht="14.5" x14ac:dyDescent="0.35"/>
    <row r="341" ht="14.5" x14ac:dyDescent="0.35"/>
    <row r="342" ht="14.5" x14ac:dyDescent="0.35"/>
    <row r="343" ht="14.5" x14ac:dyDescent="0.35"/>
    <row r="344" ht="14.5" x14ac:dyDescent="0.35"/>
    <row r="345" ht="14.5" x14ac:dyDescent="0.35"/>
    <row r="346" ht="14.5" x14ac:dyDescent="0.35"/>
    <row r="347" ht="14.5" x14ac:dyDescent="0.35"/>
    <row r="348" ht="14.5" x14ac:dyDescent="0.35"/>
    <row r="349" ht="14.5" x14ac:dyDescent="0.35"/>
    <row r="350" ht="14.5" x14ac:dyDescent="0.35"/>
    <row r="351" ht="14.5" x14ac:dyDescent="0.35"/>
    <row r="352" ht="14.5" x14ac:dyDescent="0.35"/>
    <row r="353" ht="14.5" x14ac:dyDescent="0.35"/>
    <row r="354" ht="14.5" x14ac:dyDescent="0.35"/>
    <row r="355" ht="14.5" x14ac:dyDescent="0.35"/>
    <row r="356" ht="14.5" x14ac:dyDescent="0.35"/>
    <row r="357" ht="14.5" x14ac:dyDescent="0.35"/>
    <row r="358" ht="14.5" x14ac:dyDescent="0.35"/>
    <row r="359" ht="14.5" x14ac:dyDescent="0.35"/>
    <row r="360" ht="14.5" x14ac:dyDescent="0.35"/>
    <row r="361" ht="14.5" x14ac:dyDescent="0.35"/>
    <row r="362" ht="14.5" x14ac:dyDescent="0.35"/>
    <row r="363" ht="14.5" x14ac:dyDescent="0.35"/>
    <row r="364" ht="14.5" x14ac:dyDescent="0.35"/>
    <row r="365" ht="14.5" x14ac:dyDescent="0.35"/>
    <row r="366" ht="14.5" x14ac:dyDescent="0.35"/>
    <row r="367" ht="14.5" x14ac:dyDescent="0.35"/>
    <row r="368" ht="14.5" x14ac:dyDescent="0.35"/>
    <row r="369" ht="14.5" x14ac:dyDescent="0.35"/>
    <row r="370" ht="14.5" x14ac:dyDescent="0.35"/>
    <row r="371" ht="14.5" x14ac:dyDescent="0.35"/>
    <row r="372" ht="14.5" x14ac:dyDescent="0.35"/>
    <row r="373" ht="14.5" x14ac:dyDescent="0.35"/>
    <row r="374" ht="14.5" x14ac:dyDescent="0.35"/>
    <row r="375" ht="14.5" x14ac:dyDescent="0.35"/>
    <row r="376" ht="14.5" x14ac:dyDescent="0.35"/>
    <row r="377" ht="14.5" x14ac:dyDescent="0.35"/>
    <row r="378" ht="14.5" x14ac:dyDescent="0.35"/>
    <row r="379" ht="14.5" x14ac:dyDescent="0.35"/>
    <row r="380" ht="14.5" x14ac:dyDescent="0.35"/>
    <row r="381" ht="14.5" x14ac:dyDescent="0.35"/>
    <row r="382" ht="14.5" x14ac:dyDescent="0.35"/>
    <row r="383" ht="14.5" x14ac:dyDescent="0.35"/>
    <row r="384" ht="14.5" x14ac:dyDescent="0.35"/>
    <row r="385" ht="14.5" x14ac:dyDescent="0.35"/>
    <row r="386" ht="14.5" x14ac:dyDescent="0.35"/>
    <row r="387" ht="14.5" x14ac:dyDescent="0.35"/>
    <row r="388" ht="14.5" x14ac:dyDescent="0.35"/>
    <row r="389" ht="14.5" x14ac:dyDescent="0.35"/>
    <row r="390" ht="14.5" x14ac:dyDescent="0.35"/>
    <row r="391" ht="14.5" x14ac:dyDescent="0.35"/>
    <row r="392" ht="14.5" x14ac:dyDescent="0.35"/>
    <row r="393" ht="14.5" x14ac:dyDescent="0.35"/>
    <row r="394" ht="14.5" x14ac:dyDescent="0.35"/>
    <row r="395" ht="14.5" x14ac:dyDescent="0.35"/>
    <row r="396" ht="14.5" x14ac:dyDescent="0.35"/>
    <row r="397" ht="14.5" x14ac:dyDescent="0.35"/>
    <row r="398" ht="14.5" x14ac:dyDescent="0.35"/>
    <row r="399" ht="14.5" x14ac:dyDescent="0.35"/>
    <row r="400" ht="14.5" x14ac:dyDescent="0.35"/>
    <row r="401" ht="14.5" x14ac:dyDescent="0.35"/>
    <row r="402" ht="14.5" x14ac:dyDescent="0.35"/>
    <row r="403" ht="14.5" x14ac:dyDescent="0.35"/>
    <row r="404" ht="14.5" x14ac:dyDescent="0.35"/>
    <row r="405" ht="14.5" x14ac:dyDescent="0.35"/>
    <row r="406" ht="14.5" x14ac:dyDescent="0.35"/>
    <row r="407" ht="14.5" x14ac:dyDescent="0.35"/>
    <row r="408" ht="14.5" x14ac:dyDescent="0.35"/>
    <row r="409" ht="14.5" x14ac:dyDescent="0.35"/>
    <row r="410" ht="14.5" x14ac:dyDescent="0.35"/>
    <row r="411" ht="14.5" x14ac:dyDescent="0.35"/>
    <row r="412" ht="14.5" x14ac:dyDescent="0.35"/>
    <row r="413" ht="14.5" x14ac:dyDescent="0.35"/>
    <row r="414" ht="14.5" x14ac:dyDescent="0.35"/>
    <row r="415" ht="14.5" x14ac:dyDescent="0.35"/>
    <row r="416" ht="14.5" x14ac:dyDescent="0.35"/>
    <row r="417" ht="14.5" x14ac:dyDescent="0.35"/>
    <row r="418" ht="14.5" x14ac:dyDescent="0.35"/>
    <row r="419" ht="14.5" x14ac:dyDescent="0.35"/>
    <row r="420" ht="14.5" x14ac:dyDescent="0.35"/>
    <row r="421" ht="14.5" x14ac:dyDescent="0.35"/>
    <row r="422" ht="14.5" x14ac:dyDescent="0.35"/>
    <row r="423" ht="14.5" x14ac:dyDescent="0.35"/>
    <row r="424" ht="14.5" x14ac:dyDescent="0.35"/>
    <row r="425" ht="14.5" x14ac:dyDescent="0.35"/>
    <row r="426" ht="14.5" x14ac:dyDescent="0.35"/>
    <row r="427" ht="14.5" x14ac:dyDescent="0.35"/>
    <row r="428" ht="14.5" x14ac:dyDescent="0.35"/>
    <row r="429" ht="14.5" x14ac:dyDescent="0.35"/>
    <row r="430" ht="14.5" x14ac:dyDescent="0.35"/>
    <row r="431" ht="14.5" x14ac:dyDescent="0.35"/>
    <row r="432" ht="14.5" x14ac:dyDescent="0.35"/>
    <row r="433" ht="14.5" x14ac:dyDescent="0.35"/>
    <row r="434" ht="14.5" x14ac:dyDescent="0.35"/>
    <row r="435" ht="14.5" x14ac:dyDescent="0.35"/>
    <row r="436" ht="14.5" x14ac:dyDescent="0.35"/>
    <row r="437" ht="14.5" x14ac:dyDescent="0.35"/>
    <row r="438" ht="14.5" x14ac:dyDescent="0.35"/>
    <row r="439" ht="14.5" x14ac:dyDescent="0.35"/>
    <row r="440" ht="14.5" x14ac:dyDescent="0.35"/>
    <row r="441" ht="14.5" x14ac:dyDescent="0.35"/>
    <row r="442" ht="14.5" x14ac:dyDescent="0.35"/>
    <row r="443" ht="14.5" x14ac:dyDescent="0.35"/>
    <row r="444" ht="14.5" x14ac:dyDescent="0.35"/>
    <row r="445" ht="14.5" x14ac:dyDescent="0.35"/>
    <row r="446" ht="14.5" x14ac:dyDescent="0.35"/>
    <row r="447" ht="14.5" x14ac:dyDescent="0.35"/>
    <row r="448" ht="14.5" x14ac:dyDescent="0.35"/>
    <row r="449" ht="14.5" x14ac:dyDescent="0.35"/>
    <row r="450" ht="14.5" x14ac:dyDescent="0.35"/>
    <row r="451" ht="14.5" x14ac:dyDescent="0.35"/>
    <row r="452" ht="14.5" x14ac:dyDescent="0.35"/>
    <row r="453" ht="14.5" x14ac:dyDescent="0.35"/>
    <row r="454" ht="14.5" x14ac:dyDescent="0.35"/>
    <row r="455" ht="14.5" x14ac:dyDescent="0.35"/>
    <row r="456" ht="14.5" x14ac:dyDescent="0.35"/>
    <row r="457" ht="14.5" x14ac:dyDescent="0.35"/>
    <row r="458" ht="14.5" x14ac:dyDescent="0.35"/>
    <row r="459" ht="14.5" x14ac:dyDescent="0.35"/>
    <row r="460" ht="14.5" x14ac:dyDescent="0.35"/>
    <row r="461" ht="14.5" x14ac:dyDescent="0.35"/>
    <row r="462" ht="14.5" x14ac:dyDescent="0.35"/>
    <row r="463" ht="14.5" x14ac:dyDescent="0.35"/>
    <row r="464" ht="14.5" x14ac:dyDescent="0.35"/>
    <row r="465" ht="14.5" x14ac:dyDescent="0.35"/>
    <row r="466" ht="14.5" x14ac:dyDescent="0.35"/>
    <row r="467" ht="14.5" x14ac:dyDescent="0.35"/>
    <row r="468" ht="14.5" x14ac:dyDescent="0.35"/>
    <row r="469" ht="14.5" x14ac:dyDescent="0.35"/>
    <row r="470" ht="14.5" x14ac:dyDescent="0.35"/>
    <row r="471" ht="14.5" x14ac:dyDescent="0.35"/>
    <row r="472" ht="14.5" x14ac:dyDescent="0.35"/>
    <row r="473" ht="14.5" x14ac:dyDescent="0.35"/>
    <row r="474" ht="14.5" x14ac:dyDescent="0.35"/>
    <row r="475" ht="14.5" x14ac:dyDescent="0.35"/>
    <row r="476" ht="14.5" x14ac:dyDescent="0.35"/>
    <row r="477" ht="14.5" x14ac:dyDescent="0.35"/>
    <row r="478" ht="14.5" x14ac:dyDescent="0.35"/>
    <row r="479" ht="14.5" x14ac:dyDescent="0.35"/>
    <row r="480" ht="14.5" x14ac:dyDescent="0.35"/>
    <row r="481" ht="14.5" x14ac:dyDescent="0.35"/>
    <row r="482" ht="14.5" x14ac:dyDescent="0.35"/>
    <row r="483" ht="14.5" x14ac:dyDescent="0.35"/>
    <row r="484" ht="14.5" x14ac:dyDescent="0.35"/>
    <row r="485" ht="14.5" x14ac:dyDescent="0.35"/>
    <row r="486" ht="14.5" x14ac:dyDescent="0.35"/>
    <row r="487" ht="14.5" x14ac:dyDescent="0.35"/>
    <row r="488" ht="14.5" x14ac:dyDescent="0.35"/>
    <row r="489" ht="14.5" x14ac:dyDescent="0.35"/>
    <row r="490" ht="14.5" x14ac:dyDescent="0.35"/>
    <row r="491" ht="14.5" x14ac:dyDescent="0.35"/>
    <row r="492" ht="14.5" x14ac:dyDescent="0.35"/>
    <row r="493" ht="14.5" x14ac:dyDescent="0.35"/>
    <row r="494" ht="14.5" x14ac:dyDescent="0.35"/>
    <row r="495" ht="14.5" x14ac:dyDescent="0.35"/>
    <row r="496" ht="14.5" x14ac:dyDescent="0.35"/>
    <row r="497" ht="14.5" x14ac:dyDescent="0.35"/>
    <row r="498" ht="14.5" x14ac:dyDescent="0.35"/>
    <row r="499" ht="14.5" x14ac:dyDescent="0.35"/>
    <row r="500" ht="14.5" x14ac:dyDescent="0.35"/>
    <row r="501" ht="14.5" x14ac:dyDescent="0.35"/>
    <row r="502" ht="14.5" x14ac:dyDescent="0.35"/>
    <row r="503" ht="14.5" x14ac:dyDescent="0.35"/>
    <row r="504" ht="14.5" x14ac:dyDescent="0.35"/>
    <row r="505" ht="14.5" x14ac:dyDescent="0.35"/>
    <row r="506" ht="14.5" x14ac:dyDescent="0.35"/>
    <row r="507" ht="14.5" x14ac:dyDescent="0.35"/>
    <row r="508" ht="14.5" x14ac:dyDescent="0.35"/>
    <row r="509" ht="14.5" x14ac:dyDescent="0.35"/>
    <row r="510" ht="14.5" x14ac:dyDescent="0.35"/>
    <row r="511" ht="14.5" x14ac:dyDescent="0.35"/>
    <row r="512" ht="14.5" x14ac:dyDescent="0.35"/>
    <row r="513" ht="14.5" x14ac:dyDescent="0.35"/>
    <row r="514" ht="14.5" x14ac:dyDescent="0.35"/>
    <row r="515" ht="14.5" x14ac:dyDescent="0.35"/>
    <row r="516" ht="14.5" x14ac:dyDescent="0.35"/>
    <row r="517" ht="14.5" x14ac:dyDescent="0.35"/>
    <row r="518" ht="14.5" x14ac:dyDescent="0.35"/>
    <row r="519" ht="14.5" x14ac:dyDescent="0.35"/>
    <row r="520" ht="14.5" x14ac:dyDescent="0.35"/>
    <row r="521" ht="14.5" x14ac:dyDescent="0.35"/>
    <row r="522" ht="14.5" x14ac:dyDescent="0.35"/>
    <row r="523" ht="14.5" x14ac:dyDescent="0.35"/>
    <row r="524" ht="14.5" x14ac:dyDescent="0.35"/>
    <row r="525" ht="14.5" x14ac:dyDescent="0.35"/>
    <row r="526" ht="14.5" x14ac:dyDescent="0.35"/>
    <row r="527" ht="14.5" x14ac:dyDescent="0.35"/>
    <row r="528" ht="14.5" x14ac:dyDescent="0.35"/>
    <row r="529" ht="14.5" x14ac:dyDescent="0.35"/>
    <row r="530" ht="14.5" x14ac:dyDescent="0.35"/>
    <row r="531" ht="14.5" x14ac:dyDescent="0.35"/>
    <row r="532" ht="14.5" x14ac:dyDescent="0.35"/>
    <row r="533" ht="14.5" x14ac:dyDescent="0.35"/>
    <row r="534" ht="14.5" x14ac:dyDescent="0.35"/>
    <row r="535" ht="14.5" x14ac:dyDescent="0.35"/>
    <row r="536" ht="14.5" x14ac:dyDescent="0.35"/>
    <row r="537" ht="14.5" x14ac:dyDescent="0.35"/>
    <row r="538" ht="14.5" x14ac:dyDescent="0.35"/>
    <row r="539" ht="14.5" x14ac:dyDescent="0.35"/>
    <row r="540" ht="14.5" x14ac:dyDescent="0.35"/>
    <row r="541" ht="14.5" x14ac:dyDescent="0.35"/>
    <row r="542" ht="14.5" x14ac:dyDescent="0.35"/>
    <row r="543" ht="14.5" x14ac:dyDescent="0.35"/>
    <row r="544" ht="14.5" x14ac:dyDescent="0.35"/>
    <row r="545" ht="14.5" x14ac:dyDescent="0.35"/>
    <row r="546" ht="14.5" x14ac:dyDescent="0.35"/>
    <row r="547" ht="14.5" x14ac:dyDescent="0.35"/>
    <row r="548" ht="14.5" x14ac:dyDescent="0.35"/>
    <row r="549" ht="14.5" x14ac:dyDescent="0.35"/>
    <row r="550" ht="14.5" x14ac:dyDescent="0.35"/>
    <row r="551" ht="14.5" x14ac:dyDescent="0.35"/>
    <row r="552" ht="14.5" x14ac:dyDescent="0.35"/>
    <row r="553" ht="14.5" x14ac:dyDescent="0.35"/>
    <row r="554" ht="14.5" x14ac:dyDescent="0.35"/>
    <row r="555" ht="14.5" x14ac:dyDescent="0.35"/>
    <row r="556" ht="14.5" x14ac:dyDescent="0.35"/>
    <row r="557" ht="14.5" x14ac:dyDescent="0.35"/>
    <row r="558" ht="14.5" x14ac:dyDescent="0.35"/>
    <row r="559" ht="14.5" x14ac:dyDescent="0.35"/>
    <row r="560" ht="14.5" x14ac:dyDescent="0.35"/>
    <row r="561" ht="14.5" x14ac:dyDescent="0.35"/>
    <row r="562" ht="14.5" x14ac:dyDescent="0.35"/>
    <row r="563" ht="14.5" x14ac:dyDescent="0.35"/>
    <row r="564" ht="14.5" x14ac:dyDescent="0.35"/>
    <row r="565" ht="14.5" x14ac:dyDescent="0.35"/>
    <row r="566" ht="14.5" x14ac:dyDescent="0.35"/>
    <row r="567" ht="14.5" x14ac:dyDescent="0.35"/>
    <row r="568" ht="14.5" x14ac:dyDescent="0.35"/>
    <row r="569" ht="14.5" x14ac:dyDescent="0.35"/>
    <row r="570" ht="14.5" x14ac:dyDescent="0.35"/>
    <row r="571" ht="14.5" x14ac:dyDescent="0.35"/>
    <row r="572" ht="14.5" x14ac:dyDescent="0.35"/>
    <row r="573" ht="14.5" x14ac:dyDescent="0.35"/>
    <row r="574" ht="14.5" x14ac:dyDescent="0.35"/>
    <row r="575" ht="14.5" x14ac:dyDescent="0.35"/>
    <row r="576" ht="14.5" x14ac:dyDescent="0.35"/>
    <row r="577" ht="14.5" x14ac:dyDescent="0.35"/>
    <row r="578" ht="14.5" x14ac:dyDescent="0.35"/>
    <row r="579" ht="14.5" x14ac:dyDescent="0.35"/>
    <row r="580" ht="14.5" x14ac:dyDescent="0.35"/>
    <row r="581" ht="14.5" x14ac:dyDescent="0.35"/>
    <row r="582" ht="14.5" x14ac:dyDescent="0.35"/>
    <row r="583" ht="14.5" x14ac:dyDescent="0.35"/>
    <row r="584" ht="14.5" x14ac:dyDescent="0.35"/>
    <row r="585" ht="14.5" x14ac:dyDescent="0.35"/>
    <row r="586" ht="14.5" x14ac:dyDescent="0.35"/>
    <row r="587" ht="14.5" x14ac:dyDescent="0.35"/>
    <row r="588" ht="14.5" x14ac:dyDescent="0.35"/>
    <row r="589" ht="14.5" x14ac:dyDescent="0.35"/>
    <row r="590" ht="14.5" x14ac:dyDescent="0.35"/>
    <row r="591" ht="14.5" x14ac:dyDescent="0.35"/>
    <row r="592" ht="14.5" x14ac:dyDescent="0.35"/>
    <row r="593" ht="14.5" x14ac:dyDescent="0.35"/>
    <row r="594" ht="14.5" x14ac:dyDescent="0.35"/>
    <row r="595" ht="14.5" x14ac:dyDescent="0.35"/>
    <row r="596" ht="14.5" x14ac:dyDescent="0.35"/>
    <row r="597" ht="14.5" x14ac:dyDescent="0.35"/>
    <row r="598" ht="14.5" x14ac:dyDescent="0.35"/>
    <row r="599" ht="14.5" x14ac:dyDescent="0.35"/>
    <row r="600" ht="14.5" x14ac:dyDescent="0.35"/>
    <row r="601" ht="14.5" x14ac:dyDescent="0.35"/>
    <row r="602" ht="14.5" x14ac:dyDescent="0.35"/>
    <row r="603" ht="14.5" x14ac:dyDescent="0.35"/>
    <row r="604" ht="14.5" x14ac:dyDescent="0.35"/>
    <row r="605" ht="14.5" x14ac:dyDescent="0.35"/>
    <row r="606" ht="14.5" x14ac:dyDescent="0.35"/>
    <row r="607" ht="14.5" x14ac:dyDescent="0.35"/>
    <row r="608" ht="14.5" x14ac:dyDescent="0.35"/>
    <row r="609" ht="14.5" x14ac:dyDescent="0.35"/>
    <row r="610" ht="14.5" x14ac:dyDescent="0.35"/>
    <row r="611" ht="14.5" x14ac:dyDescent="0.35"/>
    <row r="612" ht="14.5" x14ac:dyDescent="0.35"/>
    <row r="613" ht="14.5" x14ac:dyDescent="0.35"/>
    <row r="614" ht="14.5" x14ac:dyDescent="0.35"/>
    <row r="615" ht="14.5" x14ac:dyDescent="0.35"/>
    <row r="616" ht="14.5" x14ac:dyDescent="0.35"/>
    <row r="617" ht="14.5" x14ac:dyDescent="0.35"/>
    <row r="618" ht="14.5" x14ac:dyDescent="0.35"/>
    <row r="619" ht="14.5" x14ac:dyDescent="0.35"/>
    <row r="620" ht="14.5" x14ac:dyDescent="0.35"/>
    <row r="621" ht="14.5" x14ac:dyDescent="0.35"/>
    <row r="622" ht="14.5" x14ac:dyDescent="0.35"/>
    <row r="623" ht="14.5" x14ac:dyDescent="0.35"/>
    <row r="624" ht="14.5" x14ac:dyDescent="0.35"/>
    <row r="625" ht="14.5" x14ac:dyDescent="0.35"/>
    <row r="626" ht="14.5" x14ac:dyDescent="0.35"/>
    <row r="627" ht="14.5" x14ac:dyDescent="0.35"/>
    <row r="628" ht="14.5" x14ac:dyDescent="0.35"/>
    <row r="629" ht="14.5" x14ac:dyDescent="0.35"/>
    <row r="630" ht="14.5" x14ac:dyDescent="0.35"/>
    <row r="631" ht="14.5" x14ac:dyDescent="0.35"/>
    <row r="632" ht="14.5" x14ac:dyDescent="0.35"/>
    <row r="633" ht="14.5" x14ac:dyDescent="0.35"/>
    <row r="634" ht="14.5" x14ac:dyDescent="0.35"/>
    <row r="635" ht="14.5" x14ac:dyDescent="0.35"/>
    <row r="636" ht="14.5" x14ac:dyDescent="0.35"/>
    <row r="637" ht="14.5" x14ac:dyDescent="0.35"/>
    <row r="638" ht="14.5" x14ac:dyDescent="0.35"/>
    <row r="639" ht="14.5" x14ac:dyDescent="0.35"/>
    <row r="640" ht="14.5" x14ac:dyDescent="0.35"/>
    <row r="641" ht="14.5" x14ac:dyDescent="0.35"/>
    <row r="642" ht="14.5" x14ac:dyDescent="0.35"/>
    <row r="643" ht="14.5" x14ac:dyDescent="0.35"/>
    <row r="644" ht="14.5" x14ac:dyDescent="0.35"/>
    <row r="645" ht="14.5" x14ac:dyDescent="0.35"/>
    <row r="646" ht="14.5" x14ac:dyDescent="0.35"/>
    <row r="647" ht="14.5" x14ac:dyDescent="0.35"/>
    <row r="648" ht="14.5" x14ac:dyDescent="0.35"/>
    <row r="649" ht="14.5" x14ac:dyDescent="0.35"/>
    <row r="650" ht="14.5" x14ac:dyDescent="0.35"/>
    <row r="651" ht="14.5" x14ac:dyDescent="0.35"/>
    <row r="652" ht="14.5" x14ac:dyDescent="0.35"/>
    <row r="653" ht="14.5" x14ac:dyDescent="0.35"/>
    <row r="654" ht="14.5" x14ac:dyDescent="0.35"/>
    <row r="655" ht="14.5" x14ac:dyDescent="0.35"/>
    <row r="656" ht="14.5" x14ac:dyDescent="0.35"/>
    <row r="657" ht="14.5" x14ac:dyDescent="0.35"/>
    <row r="658" ht="14.5" x14ac:dyDescent="0.35"/>
    <row r="659" ht="14.5" x14ac:dyDescent="0.35"/>
    <row r="660" ht="14.5" x14ac:dyDescent="0.35"/>
    <row r="661" ht="14.5" x14ac:dyDescent="0.35"/>
    <row r="662" ht="14.5" x14ac:dyDescent="0.35"/>
    <row r="663" ht="14.5" x14ac:dyDescent="0.35"/>
    <row r="664" ht="14.5" x14ac:dyDescent="0.35"/>
    <row r="665" ht="14.5" x14ac:dyDescent="0.35"/>
    <row r="666" ht="14.5" x14ac:dyDescent="0.35"/>
    <row r="667" ht="14.5" x14ac:dyDescent="0.35"/>
    <row r="668" ht="14.5" x14ac:dyDescent="0.35"/>
    <row r="669" ht="14.5" x14ac:dyDescent="0.35"/>
    <row r="670" ht="14.5" x14ac:dyDescent="0.35"/>
    <row r="671" ht="14.5" x14ac:dyDescent="0.35"/>
    <row r="672" ht="14.5" x14ac:dyDescent="0.35"/>
    <row r="673" ht="14.5" x14ac:dyDescent="0.35"/>
    <row r="674" ht="14.5" x14ac:dyDescent="0.35"/>
    <row r="675" ht="14.5" x14ac:dyDescent="0.35"/>
    <row r="676" ht="14.5" x14ac:dyDescent="0.35"/>
    <row r="677" ht="14.5" x14ac:dyDescent="0.35"/>
    <row r="678" ht="14.5" x14ac:dyDescent="0.35"/>
    <row r="679" ht="14.5" x14ac:dyDescent="0.35"/>
    <row r="680" ht="14.5" x14ac:dyDescent="0.35"/>
    <row r="681" ht="14.5" x14ac:dyDescent="0.35"/>
    <row r="682" ht="14.5" x14ac:dyDescent="0.35"/>
    <row r="683" ht="14.5" x14ac:dyDescent="0.35"/>
    <row r="684" ht="14.5" x14ac:dyDescent="0.35"/>
    <row r="685" ht="14.5" x14ac:dyDescent="0.35"/>
    <row r="686" ht="14.5" x14ac:dyDescent="0.35"/>
    <row r="687" ht="14.5" x14ac:dyDescent="0.35"/>
    <row r="688" ht="14.5" x14ac:dyDescent="0.35"/>
    <row r="689" ht="14.5" x14ac:dyDescent="0.35"/>
    <row r="690" ht="14.5" x14ac:dyDescent="0.35"/>
    <row r="691" ht="14.5" x14ac:dyDescent="0.35"/>
    <row r="692" ht="14.5" x14ac:dyDescent="0.35"/>
    <row r="693" ht="14.5" x14ac:dyDescent="0.35"/>
    <row r="694" ht="14.5" x14ac:dyDescent="0.35"/>
    <row r="695" ht="14.5" x14ac:dyDescent="0.35"/>
    <row r="696" ht="14.5" x14ac:dyDescent="0.35"/>
    <row r="697" ht="14.5" x14ac:dyDescent="0.35"/>
    <row r="698" ht="14.5" x14ac:dyDescent="0.35"/>
    <row r="699" ht="14.5" x14ac:dyDescent="0.35"/>
    <row r="700" ht="14.5" x14ac:dyDescent="0.35"/>
    <row r="701" ht="14.5" x14ac:dyDescent="0.35"/>
    <row r="702" ht="14.5" x14ac:dyDescent="0.35"/>
    <row r="703" ht="14.5" x14ac:dyDescent="0.35"/>
    <row r="704" ht="14.5" x14ac:dyDescent="0.35"/>
    <row r="705" ht="14.5" x14ac:dyDescent="0.35"/>
    <row r="706" ht="14.5" x14ac:dyDescent="0.35"/>
    <row r="707" ht="14.5" x14ac:dyDescent="0.35"/>
    <row r="708" ht="14.5" x14ac:dyDescent="0.35"/>
    <row r="709" ht="14.5" x14ac:dyDescent="0.35"/>
    <row r="710" ht="14.5" x14ac:dyDescent="0.35"/>
    <row r="711" ht="14.5" x14ac:dyDescent="0.35"/>
    <row r="712" ht="14.5" x14ac:dyDescent="0.35"/>
    <row r="713" ht="14.5" x14ac:dyDescent="0.35"/>
    <row r="714" ht="14.5" x14ac:dyDescent="0.35"/>
    <row r="715" ht="14.5" x14ac:dyDescent="0.35"/>
    <row r="716" ht="14.5" x14ac:dyDescent="0.35"/>
    <row r="717" ht="14.5" x14ac:dyDescent="0.35"/>
    <row r="718" ht="14.5" x14ac:dyDescent="0.35"/>
    <row r="719" ht="14.5" x14ac:dyDescent="0.35"/>
    <row r="720" ht="14.5" x14ac:dyDescent="0.35"/>
    <row r="721" ht="14.5" x14ac:dyDescent="0.35"/>
    <row r="722" ht="14.5" x14ac:dyDescent="0.35"/>
    <row r="723" ht="14.5" x14ac:dyDescent="0.35"/>
    <row r="724" ht="14.5" x14ac:dyDescent="0.35"/>
    <row r="725" ht="14.5" x14ac:dyDescent="0.35"/>
    <row r="726" ht="14.5" x14ac:dyDescent="0.35"/>
    <row r="727" ht="14.5" x14ac:dyDescent="0.35"/>
    <row r="728" ht="14.5" x14ac:dyDescent="0.35"/>
    <row r="729" ht="14.5" x14ac:dyDescent="0.35"/>
    <row r="730" ht="14.5" x14ac:dyDescent="0.35"/>
    <row r="731" ht="14.5" x14ac:dyDescent="0.35"/>
    <row r="732" ht="14.5" x14ac:dyDescent="0.35"/>
    <row r="733" ht="14.5" x14ac:dyDescent="0.35"/>
    <row r="734" ht="14.5" x14ac:dyDescent="0.35"/>
    <row r="735" ht="14.5" x14ac:dyDescent="0.35"/>
    <row r="736" ht="14.5" x14ac:dyDescent="0.35"/>
    <row r="737" ht="14.5" x14ac:dyDescent="0.35"/>
    <row r="738" ht="14.5" x14ac:dyDescent="0.35"/>
    <row r="739" ht="14.5" x14ac:dyDescent="0.35"/>
    <row r="740" ht="14.5" x14ac:dyDescent="0.35"/>
    <row r="741" ht="14.5" x14ac:dyDescent="0.35"/>
    <row r="742" ht="14.5" x14ac:dyDescent="0.35"/>
    <row r="743" ht="14.5" x14ac:dyDescent="0.35"/>
    <row r="744" ht="14.5" x14ac:dyDescent="0.35"/>
    <row r="745" ht="14.5" x14ac:dyDescent="0.35"/>
    <row r="746" ht="14.5" x14ac:dyDescent="0.35"/>
    <row r="747" ht="14.5" x14ac:dyDescent="0.35"/>
    <row r="748" ht="14.5" x14ac:dyDescent="0.35"/>
    <row r="749" ht="14.5" x14ac:dyDescent="0.35"/>
    <row r="750" ht="14.5" x14ac:dyDescent="0.35"/>
    <row r="751" ht="14.5" x14ac:dyDescent="0.35"/>
    <row r="752" ht="14.5" x14ac:dyDescent="0.35"/>
    <row r="753" ht="14.5" x14ac:dyDescent="0.35"/>
    <row r="754" ht="14.5" x14ac:dyDescent="0.35"/>
    <row r="755" ht="14.5" x14ac:dyDescent="0.35"/>
    <row r="756" ht="14.5" x14ac:dyDescent="0.35"/>
    <row r="757" ht="14.5" x14ac:dyDescent="0.35"/>
    <row r="758" ht="14.5" x14ac:dyDescent="0.35"/>
    <row r="759" ht="14.5" x14ac:dyDescent="0.35"/>
    <row r="760" ht="14.5" x14ac:dyDescent="0.35"/>
    <row r="761" ht="14.5" x14ac:dyDescent="0.35"/>
    <row r="762" ht="14.5" x14ac:dyDescent="0.35"/>
    <row r="763" ht="14.5" x14ac:dyDescent="0.35"/>
    <row r="764" ht="14.5" x14ac:dyDescent="0.35"/>
    <row r="765" ht="14.5" x14ac:dyDescent="0.35"/>
    <row r="766" ht="14.5" x14ac:dyDescent="0.35"/>
    <row r="767" ht="14.5" x14ac:dyDescent="0.35"/>
    <row r="768" ht="14.5" x14ac:dyDescent="0.35"/>
    <row r="769" ht="14.5" x14ac:dyDescent="0.35"/>
    <row r="770" ht="14.5" x14ac:dyDescent="0.35"/>
    <row r="771" ht="14.5" x14ac:dyDescent="0.35"/>
    <row r="772" ht="14.5" x14ac:dyDescent="0.35"/>
    <row r="773" ht="14.5" x14ac:dyDescent="0.35"/>
    <row r="774" ht="14.5" x14ac:dyDescent="0.35"/>
    <row r="775" ht="14.5" x14ac:dyDescent="0.35"/>
    <row r="776" ht="14.5" x14ac:dyDescent="0.35"/>
    <row r="777" ht="14.5" x14ac:dyDescent="0.35"/>
    <row r="778" ht="14.5" x14ac:dyDescent="0.35"/>
    <row r="779" ht="14.5" x14ac:dyDescent="0.35"/>
    <row r="780" ht="14.5" x14ac:dyDescent="0.35"/>
    <row r="781" ht="14.5" x14ac:dyDescent="0.35"/>
    <row r="782" ht="14.5" x14ac:dyDescent="0.35"/>
    <row r="783" ht="14.5" x14ac:dyDescent="0.35"/>
    <row r="784" ht="14.5" x14ac:dyDescent="0.35"/>
    <row r="785" ht="14.5" x14ac:dyDescent="0.35"/>
    <row r="786" ht="14.5" x14ac:dyDescent="0.35"/>
    <row r="787" ht="14.5" x14ac:dyDescent="0.35"/>
    <row r="788" ht="14.5" x14ac:dyDescent="0.35"/>
    <row r="789" ht="14.5" x14ac:dyDescent="0.35"/>
    <row r="790" ht="14.5" x14ac:dyDescent="0.35"/>
    <row r="791" ht="14.5" x14ac:dyDescent="0.35"/>
    <row r="792" ht="14.5" x14ac:dyDescent="0.35"/>
    <row r="793" ht="14.5" x14ac:dyDescent="0.35"/>
    <row r="794" ht="14.5" x14ac:dyDescent="0.35"/>
    <row r="795" ht="14.5" x14ac:dyDescent="0.35"/>
    <row r="796" ht="14.5" x14ac:dyDescent="0.35"/>
    <row r="797" ht="14.5" x14ac:dyDescent="0.35"/>
    <row r="798" ht="14.5" x14ac:dyDescent="0.35"/>
    <row r="799" ht="14.5" x14ac:dyDescent="0.35"/>
    <row r="800" ht="14.5" x14ac:dyDescent="0.35"/>
    <row r="801" ht="14.5" x14ac:dyDescent="0.35"/>
    <row r="802" ht="14.5" x14ac:dyDescent="0.35"/>
    <row r="803" ht="14.5" x14ac:dyDescent="0.35"/>
    <row r="804" ht="14.5" x14ac:dyDescent="0.35"/>
    <row r="805" ht="14.5" x14ac:dyDescent="0.35"/>
    <row r="806" ht="14.5" x14ac:dyDescent="0.35"/>
    <row r="807" ht="14.5" x14ac:dyDescent="0.35"/>
    <row r="808" ht="14.5" x14ac:dyDescent="0.35"/>
    <row r="809" ht="14.5" x14ac:dyDescent="0.35"/>
    <row r="810" ht="14.5" x14ac:dyDescent="0.35"/>
    <row r="811" ht="14.5" x14ac:dyDescent="0.35"/>
    <row r="812" ht="14.5" x14ac:dyDescent="0.35"/>
    <row r="813" ht="14.5" x14ac:dyDescent="0.35"/>
    <row r="814" ht="14.5" x14ac:dyDescent="0.35"/>
    <row r="815" ht="14.5" x14ac:dyDescent="0.35"/>
    <row r="816" ht="14.5" x14ac:dyDescent="0.35"/>
    <row r="817" ht="14.5" x14ac:dyDescent="0.35"/>
    <row r="818" ht="14.5" x14ac:dyDescent="0.35"/>
    <row r="819" ht="14.5" x14ac:dyDescent="0.35"/>
    <row r="820" ht="14.5" x14ac:dyDescent="0.35"/>
    <row r="821" ht="14.5" x14ac:dyDescent="0.35"/>
    <row r="822" ht="14.5" x14ac:dyDescent="0.35"/>
    <row r="823" ht="14.5" x14ac:dyDescent="0.35"/>
    <row r="824" ht="14.5" x14ac:dyDescent="0.35"/>
    <row r="825" ht="14.5" x14ac:dyDescent="0.35"/>
    <row r="826" ht="14.5" x14ac:dyDescent="0.35"/>
    <row r="827" ht="14.5" x14ac:dyDescent="0.35"/>
    <row r="828" ht="14.5" x14ac:dyDescent="0.35"/>
    <row r="829" ht="14.5" x14ac:dyDescent="0.35"/>
    <row r="830" ht="14.5" x14ac:dyDescent="0.35"/>
    <row r="831" ht="14.5" x14ac:dyDescent="0.35"/>
    <row r="832" ht="14.5" x14ac:dyDescent="0.35"/>
    <row r="833" ht="14.5" x14ac:dyDescent="0.35"/>
    <row r="834" ht="14.5" x14ac:dyDescent="0.35"/>
    <row r="835" ht="14.5" x14ac:dyDescent="0.35"/>
    <row r="836" ht="14.5" x14ac:dyDescent="0.35"/>
    <row r="837" ht="14.5" x14ac:dyDescent="0.35"/>
    <row r="838" ht="14.5" x14ac:dyDescent="0.35"/>
    <row r="839" ht="14.5" x14ac:dyDescent="0.35"/>
    <row r="840" ht="14.5" x14ac:dyDescent="0.35"/>
    <row r="841" ht="14.5" x14ac:dyDescent="0.35"/>
    <row r="842" ht="14.5" x14ac:dyDescent="0.35"/>
    <row r="843" ht="14.5" x14ac:dyDescent="0.35"/>
    <row r="844" ht="14.5" x14ac:dyDescent="0.35"/>
    <row r="845" ht="14.5" x14ac:dyDescent="0.35"/>
    <row r="846" ht="14.5" x14ac:dyDescent="0.35"/>
    <row r="847" ht="14.5" x14ac:dyDescent="0.35"/>
    <row r="848" ht="14.5" x14ac:dyDescent="0.35"/>
    <row r="849" ht="14.5" x14ac:dyDescent="0.35"/>
    <row r="850" ht="14.5" x14ac:dyDescent="0.35"/>
    <row r="851" ht="14.5" x14ac:dyDescent="0.35"/>
    <row r="852" ht="14.5" x14ac:dyDescent="0.35"/>
    <row r="853" ht="14.5" x14ac:dyDescent="0.35"/>
    <row r="854" ht="14.5" x14ac:dyDescent="0.35"/>
    <row r="855" ht="14.5" x14ac:dyDescent="0.35"/>
    <row r="856" ht="14.5" x14ac:dyDescent="0.35"/>
    <row r="857" ht="14.5" x14ac:dyDescent="0.35"/>
    <row r="858" ht="14.5" x14ac:dyDescent="0.35"/>
    <row r="859" ht="14.5" x14ac:dyDescent="0.35"/>
    <row r="860" ht="14.5" x14ac:dyDescent="0.35"/>
    <row r="861" ht="14.5" x14ac:dyDescent="0.35"/>
    <row r="862" ht="14.5" x14ac:dyDescent="0.35"/>
    <row r="863" ht="14.5" x14ac:dyDescent="0.35"/>
    <row r="864" ht="14.5" x14ac:dyDescent="0.35"/>
    <row r="865" ht="14.5" x14ac:dyDescent="0.35"/>
    <row r="866" ht="14.5" x14ac:dyDescent="0.35"/>
    <row r="867" ht="14.5" x14ac:dyDescent="0.35"/>
    <row r="868" ht="14.5" x14ac:dyDescent="0.35"/>
    <row r="869" ht="14.5" x14ac:dyDescent="0.35"/>
    <row r="870" ht="14.5" x14ac:dyDescent="0.35"/>
    <row r="871" ht="14.5" x14ac:dyDescent="0.35"/>
    <row r="872" ht="14.5" x14ac:dyDescent="0.35"/>
    <row r="873" ht="14.5" x14ac:dyDescent="0.35"/>
    <row r="874" ht="14.5" x14ac:dyDescent="0.35"/>
    <row r="875" ht="14.5" x14ac:dyDescent="0.35"/>
    <row r="876" ht="14.5" x14ac:dyDescent="0.35"/>
    <row r="877" ht="14.5" x14ac:dyDescent="0.35"/>
    <row r="878" ht="14.5" x14ac:dyDescent="0.35"/>
    <row r="879" ht="14.5" x14ac:dyDescent="0.35"/>
    <row r="880" ht="14.5" x14ac:dyDescent="0.35"/>
    <row r="881" ht="14.5" x14ac:dyDescent="0.35"/>
    <row r="882" ht="14.5" x14ac:dyDescent="0.35"/>
    <row r="883" ht="14.5" x14ac:dyDescent="0.35"/>
    <row r="884" ht="14.5" x14ac:dyDescent="0.35"/>
    <row r="885" ht="14.5" x14ac:dyDescent="0.35"/>
    <row r="886" ht="14.5" x14ac:dyDescent="0.35"/>
    <row r="887" ht="14.5" x14ac:dyDescent="0.35"/>
    <row r="888" ht="14.5" x14ac:dyDescent="0.35"/>
    <row r="889" ht="14.5" x14ac:dyDescent="0.35"/>
    <row r="890" ht="14.5" x14ac:dyDescent="0.35"/>
    <row r="891" ht="14.5" x14ac:dyDescent="0.35"/>
    <row r="892" ht="14.5" x14ac:dyDescent="0.35"/>
    <row r="893" ht="14.5" x14ac:dyDescent="0.35"/>
    <row r="894" ht="14.5" x14ac:dyDescent="0.35"/>
    <row r="895" ht="14.5" x14ac:dyDescent="0.35"/>
    <row r="896" ht="14.5" x14ac:dyDescent="0.35"/>
    <row r="897" ht="14.5" x14ac:dyDescent="0.35"/>
    <row r="898" ht="14.5" x14ac:dyDescent="0.35"/>
    <row r="899" ht="14.5" x14ac:dyDescent="0.35"/>
    <row r="900" ht="14.5" x14ac:dyDescent="0.35"/>
    <row r="901" ht="14.5" x14ac:dyDescent="0.35"/>
    <row r="902" ht="14.5" x14ac:dyDescent="0.35"/>
    <row r="903" ht="14.5" x14ac:dyDescent="0.35"/>
    <row r="904" ht="14.5" x14ac:dyDescent="0.35"/>
    <row r="905" ht="14.5" x14ac:dyDescent="0.35"/>
    <row r="906" ht="14.5" x14ac:dyDescent="0.35"/>
    <row r="907" ht="14.5" x14ac:dyDescent="0.35"/>
    <row r="908" ht="14.5" x14ac:dyDescent="0.35"/>
    <row r="909" ht="14.5" x14ac:dyDescent="0.35"/>
    <row r="910" ht="14.5" x14ac:dyDescent="0.35"/>
    <row r="911" ht="14.5" x14ac:dyDescent="0.35"/>
    <row r="912" ht="14.5" x14ac:dyDescent="0.35"/>
    <row r="913" ht="14.5" x14ac:dyDescent="0.35"/>
    <row r="914" ht="14.5" x14ac:dyDescent="0.35"/>
    <row r="915" ht="14.5" x14ac:dyDescent="0.35"/>
    <row r="916" ht="14.5" x14ac:dyDescent="0.35"/>
    <row r="917" ht="14.5" x14ac:dyDescent="0.35"/>
    <row r="918" ht="14.5" x14ac:dyDescent="0.35"/>
    <row r="919" ht="14.5" x14ac:dyDescent="0.35"/>
    <row r="920" ht="14.5" x14ac:dyDescent="0.35"/>
    <row r="921" ht="14.5" x14ac:dyDescent="0.35"/>
    <row r="922" ht="14.5" x14ac:dyDescent="0.35"/>
    <row r="923" ht="14.5" x14ac:dyDescent="0.35"/>
    <row r="924" ht="14.5" x14ac:dyDescent="0.35"/>
    <row r="925" ht="14.5" x14ac:dyDescent="0.35"/>
    <row r="926" ht="14.5" x14ac:dyDescent="0.35"/>
    <row r="927" ht="14.5" x14ac:dyDescent="0.35"/>
    <row r="928" ht="14.5" x14ac:dyDescent="0.35"/>
    <row r="929" ht="14.5" x14ac:dyDescent="0.35"/>
    <row r="930" ht="14.5" x14ac:dyDescent="0.35"/>
    <row r="931" ht="14.5" x14ac:dyDescent="0.35"/>
    <row r="932" ht="14.5" x14ac:dyDescent="0.35"/>
    <row r="933" ht="14.5" x14ac:dyDescent="0.35"/>
    <row r="934" ht="14.5" x14ac:dyDescent="0.35"/>
    <row r="935" ht="14.5" x14ac:dyDescent="0.35"/>
    <row r="936" ht="14.5" x14ac:dyDescent="0.35"/>
    <row r="937" ht="14.5" x14ac:dyDescent="0.35"/>
    <row r="938" ht="14.5" x14ac:dyDescent="0.35"/>
    <row r="939" ht="14.5" x14ac:dyDescent="0.35"/>
    <row r="940" ht="14.5" x14ac:dyDescent="0.35"/>
    <row r="941" ht="14.5" x14ac:dyDescent="0.35"/>
    <row r="942" ht="14.5" x14ac:dyDescent="0.35"/>
    <row r="943" ht="14.5" x14ac:dyDescent="0.35"/>
    <row r="944" ht="14.5" x14ac:dyDescent="0.35"/>
    <row r="945" ht="14.5" x14ac:dyDescent="0.35"/>
    <row r="946" ht="14.5" x14ac:dyDescent="0.35"/>
    <row r="947" ht="14.5" x14ac:dyDescent="0.35"/>
    <row r="948" ht="14.5" x14ac:dyDescent="0.35"/>
    <row r="949" ht="14.5" x14ac:dyDescent="0.35"/>
    <row r="950" ht="14.5" x14ac:dyDescent="0.35"/>
    <row r="951" ht="14.5" x14ac:dyDescent="0.35"/>
    <row r="952" ht="14.5" x14ac:dyDescent="0.35"/>
    <row r="953" ht="14.5" x14ac:dyDescent="0.35"/>
    <row r="954" ht="14.5" x14ac:dyDescent="0.35"/>
    <row r="955" ht="14.5" x14ac:dyDescent="0.35"/>
    <row r="956" ht="14.5" x14ac:dyDescent="0.35"/>
    <row r="957" ht="14.5" x14ac:dyDescent="0.35"/>
    <row r="958" ht="14.5" x14ac:dyDescent="0.35"/>
    <row r="959" ht="14.5" x14ac:dyDescent="0.35"/>
    <row r="960" ht="14.5" x14ac:dyDescent="0.35"/>
    <row r="961" ht="14.5" x14ac:dyDescent="0.35"/>
    <row r="962" ht="14.5" x14ac:dyDescent="0.35"/>
    <row r="963" ht="14.5" x14ac:dyDescent="0.35"/>
    <row r="964" ht="14.5" x14ac:dyDescent="0.35"/>
    <row r="965" ht="14.5" x14ac:dyDescent="0.35"/>
    <row r="966" ht="14.5" x14ac:dyDescent="0.35"/>
    <row r="967" ht="14.5" x14ac:dyDescent="0.35"/>
    <row r="968" ht="14.5" x14ac:dyDescent="0.35"/>
    <row r="969" ht="14.5" x14ac:dyDescent="0.35"/>
    <row r="970" ht="14.5" x14ac:dyDescent="0.35"/>
    <row r="971" ht="14.5" x14ac:dyDescent="0.35"/>
    <row r="972" ht="14.5" x14ac:dyDescent="0.35"/>
    <row r="973" ht="14.5" x14ac:dyDescent="0.35"/>
    <row r="974" ht="14.5" x14ac:dyDescent="0.35"/>
    <row r="975" ht="14.5" x14ac:dyDescent="0.35"/>
    <row r="976" ht="14.5" x14ac:dyDescent="0.35"/>
    <row r="977" ht="14.5" x14ac:dyDescent="0.35"/>
    <row r="978" ht="14.5" x14ac:dyDescent="0.35"/>
    <row r="979" ht="14.5" x14ac:dyDescent="0.35"/>
    <row r="980" ht="14.5" x14ac:dyDescent="0.35"/>
    <row r="981" ht="14.5" x14ac:dyDescent="0.35"/>
    <row r="982" ht="14.5" x14ac:dyDescent="0.35"/>
    <row r="983" ht="14.5" x14ac:dyDescent="0.35"/>
    <row r="984" ht="14.5" x14ac:dyDescent="0.35"/>
    <row r="985" ht="14.5" x14ac:dyDescent="0.35"/>
    <row r="986" ht="14.5" x14ac:dyDescent="0.35"/>
    <row r="987" ht="14.5" x14ac:dyDescent="0.35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0000000-0002-0000-0400-000000000000}">
          <x14:formula1>
            <xm:f>'controlled vocabulary'!$AB$4:$AB$8</xm:f>
          </x14:formula1>
          <xm:sqref>BM4:BM1048576</xm:sqref>
        </x14:dataValidation>
        <x14:dataValidation type="list" allowBlank="1" showInputMessage="1" showErrorMessage="1" xr:uid="{00000000-0002-0000-0400-000001000000}">
          <x14:formula1>
            <xm:f>'controlled vocabulary'!$AA$4:$AA$8</xm:f>
          </x14:formula1>
          <xm:sqref>AH4:AH1048576</xm:sqref>
        </x14:dataValidation>
        <x14:dataValidation type="list" allowBlank="1" showInputMessage="1" showErrorMessage="1" xr:uid="{00000000-0002-0000-0400-000004000000}">
          <x14:formula1>
            <xm:f>'controlled vocabulary'!$Z$4:$Z$19</xm:f>
          </x14:formula1>
          <xm:sqref>AB4:AB1048576</xm:sqref>
        </x14:dataValidation>
        <x14:dataValidation type="list" allowBlank="1" showInputMessage="1" showErrorMessage="1" xr:uid="{00000000-0002-0000-0400-000002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400-000003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400-000005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7"/>
  <sheetViews>
    <sheetView topLeftCell="L1" workbookViewId="0">
      <selection activeCell="M4" sqref="M4"/>
    </sheetView>
  </sheetViews>
  <sheetFormatPr defaultColWidth="10.81640625" defaultRowHeight="14.5" x14ac:dyDescent="0.35"/>
  <cols>
    <col min="1" max="1" width="14.6328125" style="3" customWidth="1"/>
    <col min="2" max="2" width="12.36328125" style="3" bestFit="1" customWidth="1"/>
    <col min="3" max="4" width="14" style="3" customWidth="1"/>
    <col min="5" max="5" width="14" style="108" customWidth="1"/>
    <col min="6" max="6" width="14.453125" style="108" customWidth="1"/>
    <col min="7" max="7" width="14.453125" style="114" customWidth="1"/>
    <col min="8" max="8" width="17" style="114" bestFit="1" customWidth="1"/>
    <col min="9" max="10" width="15.1796875" style="9" customWidth="1"/>
    <col min="11" max="12" width="10.81640625" style="3"/>
    <col min="13" max="13" width="16.36328125" style="3" customWidth="1"/>
    <col min="14" max="14" width="19.36328125" style="3" customWidth="1"/>
    <col min="15" max="15" width="13" style="3" bestFit="1" customWidth="1"/>
    <col min="16" max="16" width="10.81640625" style="3"/>
    <col min="17" max="17" width="11.453125" style="3" customWidth="1"/>
    <col min="18" max="18" width="10.6328125" style="3" bestFit="1" customWidth="1"/>
    <col min="19" max="19" width="10.6328125" style="3" customWidth="1"/>
    <col min="20" max="20" width="14.36328125" style="3" customWidth="1"/>
    <col min="21" max="22" width="10.81640625" style="3"/>
    <col min="23" max="23" width="7.36328125" customWidth="1"/>
    <col min="24" max="24" width="9" bestFit="1" customWidth="1"/>
    <col min="25" max="16384" width="10.81640625" style="3"/>
  </cols>
  <sheetData>
    <row r="1" spans="1:33" s="21" customFormat="1" ht="48.5" customHeight="1" x14ac:dyDescent="0.35">
      <c r="A1" s="18" t="s">
        <v>637</v>
      </c>
      <c r="B1" s="18" t="s">
        <v>14</v>
      </c>
      <c r="C1" s="18" t="s">
        <v>427</v>
      </c>
      <c r="D1" s="18" t="s">
        <v>779</v>
      </c>
      <c r="E1" s="111" t="s">
        <v>705</v>
      </c>
      <c r="F1" s="105" t="s">
        <v>706</v>
      </c>
      <c r="G1" s="105" t="s">
        <v>707</v>
      </c>
      <c r="H1" s="105" t="s">
        <v>815</v>
      </c>
      <c r="I1" s="18" t="s">
        <v>548</v>
      </c>
      <c r="J1" s="19" t="s">
        <v>814</v>
      </c>
      <c r="K1" s="77" t="s">
        <v>302</v>
      </c>
      <c r="L1" s="77" t="s">
        <v>303</v>
      </c>
      <c r="M1" s="77" t="s">
        <v>304</v>
      </c>
      <c r="N1" s="77" t="s">
        <v>628</v>
      </c>
      <c r="O1" s="77" t="s">
        <v>305</v>
      </c>
      <c r="P1" s="77" t="s">
        <v>306</v>
      </c>
      <c r="Q1" s="92" t="s">
        <v>326</v>
      </c>
      <c r="R1" s="92" t="s">
        <v>327</v>
      </c>
      <c r="S1" s="92" t="s">
        <v>328</v>
      </c>
      <c r="T1" s="92" t="s">
        <v>329</v>
      </c>
      <c r="U1" s="62" t="s">
        <v>307</v>
      </c>
      <c r="V1" s="62" t="s">
        <v>308</v>
      </c>
      <c r="W1" s="62" t="s">
        <v>897</v>
      </c>
      <c r="X1" s="62" t="s">
        <v>898</v>
      </c>
      <c r="Y1" s="62" t="s">
        <v>309</v>
      </c>
      <c r="Z1" s="62" t="s">
        <v>310</v>
      </c>
      <c r="AA1" s="62" t="s">
        <v>311</v>
      </c>
      <c r="AB1" s="62" t="s">
        <v>312</v>
      </c>
      <c r="AC1" s="62" t="s">
        <v>313</v>
      </c>
      <c r="AD1" s="35" t="s">
        <v>314</v>
      </c>
      <c r="AE1" s="62" t="s">
        <v>315</v>
      </c>
      <c r="AF1" s="62" t="s">
        <v>316</v>
      </c>
      <c r="AG1" s="35" t="s">
        <v>317</v>
      </c>
    </row>
    <row r="2" spans="1:33" s="84" customFormat="1" ht="66.5" customHeight="1" x14ac:dyDescent="0.35">
      <c r="A2" s="22" t="s">
        <v>638</v>
      </c>
      <c r="B2" s="26" t="s">
        <v>16</v>
      </c>
      <c r="C2" s="26" t="s">
        <v>298</v>
      </c>
      <c r="D2" s="26" t="s">
        <v>780</v>
      </c>
      <c r="E2" s="106" t="s">
        <v>700</v>
      </c>
      <c r="F2" s="106" t="s">
        <v>701</v>
      </c>
      <c r="G2" s="106" t="s">
        <v>699</v>
      </c>
      <c r="H2" s="26" t="s">
        <v>299</v>
      </c>
      <c r="I2" s="26" t="s">
        <v>549</v>
      </c>
      <c r="J2" s="26" t="s">
        <v>813</v>
      </c>
      <c r="K2" s="78" t="s">
        <v>318</v>
      </c>
      <c r="L2" s="78" t="s">
        <v>631</v>
      </c>
      <c r="M2" s="78" t="s">
        <v>364</v>
      </c>
      <c r="N2" s="78" t="s">
        <v>685</v>
      </c>
      <c r="O2" s="78" t="s">
        <v>636</v>
      </c>
      <c r="P2" s="78" t="s">
        <v>319</v>
      </c>
      <c r="Q2" s="83" t="s">
        <v>347</v>
      </c>
      <c r="R2" s="83" t="s">
        <v>346</v>
      </c>
      <c r="S2" s="83" t="s">
        <v>363</v>
      </c>
      <c r="T2" s="83"/>
      <c r="U2" s="43" t="s">
        <v>320</v>
      </c>
      <c r="V2" s="43" t="s">
        <v>321</v>
      </c>
      <c r="W2" s="43" t="s">
        <v>895</v>
      </c>
      <c r="X2" s="43" t="s">
        <v>894</v>
      </c>
      <c r="Y2" s="43" t="s">
        <v>86</v>
      </c>
      <c r="Z2" s="43" t="s">
        <v>87</v>
      </c>
      <c r="AA2" s="43" t="s">
        <v>88</v>
      </c>
      <c r="AB2" s="43" t="s">
        <v>322</v>
      </c>
      <c r="AC2" s="43" t="s">
        <v>362</v>
      </c>
      <c r="AD2" s="43" t="s">
        <v>361</v>
      </c>
      <c r="AE2" s="43" t="s">
        <v>323</v>
      </c>
      <c r="AF2" s="43" t="s">
        <v>324</v>
      </c>
      <c r="AG2" s="43" t="s">
        <v>325</v>
      </c>
    </row>
    <row r="3" spans="1:33" s="33" customFormat="1" ht="29" x14ac:dyDescent="0.35">
      <c r="A3" s="28" t="s">
        <v>331</v>
      </c>
      <c r="B3" s="27"/>
      <c r="C3" s="27"/>
      <c r="D3" s="27"/>
      <c r="E3" s="107" t="s">
        <v>697</v>
      </c>
      <c r="F3" s="107" t="s">
        <v>34</v>
      </c>
      <c r="G3" s="107" t="s">
        <v>698</v>
      </c>
      <c r="H3" s="85" t="s">
        <v>342</v>
      </c>
      <c r="I3" s="27" t="s">
        <v>40</v>
      </c>
      <c r="J3" s="27"/>
      <c r="K3" s="79" t="s">
        <v>365</v>
      </c>
      <c r="L3" s="79" t="s">
        <v>866</v>
      </c>
      <c r="M3" s="79" t="s">
        <v>867</v>
      </c>
      <c r="N3" s="79" t="s">
        <v>868</v>
      </c>
      <c r="O3" s="79" t="s">
        <v>270</v>
      </c>
      <c r="P3" s="79" t="s">
        <v>297</v>
      </c>
      <c r="Q3" s="82" t="s">
        <v>37</v>
      </c>
      <c r="R3" s="82"/>
      <c r="S3" s="82"/>
      <c r="T3" s="82" t="s">
        <v>869</v>
      </c>
      <c r="U3" s="55" t="s">
        <v>131</v>
      </c>
      <c r="V3" s="55" t="s">
        <v>131</v>
      </c>
      <c r="W3" s="55" t="s">
        <v>131</v>
      </c>
      <c r="X3" s="55" t="s">
        <v>131</v>
      </c>
      <c r="Y3" s="117"/>
      <c r="Z3" s="55"/>
      <c r="AA3" s="55" t="s">
        <v>132</v>
      </c>
      <c r="AB3" s="55" t="s">
        <v>131</v>
      </c>
      <c r="AC3" s="55" t="s">
        <v>131</v>
      </c>
      <c r="AD3" s="55" t="s">
        <v>131</v>
      </c>
      <c r="AE3" s="55"/>
      <c r="AF3" s="55"/>
      <c r="AG3" s="55"/>
    </row>
    <row r="4" spans="1:33" x14ac:dyDescent="0.35">
      <c r="A4" s="13" t="s">
        <v>989</v>
      </c>
      <c r="B4" s="3" t="s">
        <v>998</v>
      </c>
      <c r="C4" t="s">
        <v>1001</v>
      </c>
      <c r="D4" t="s">
        <v>1019</v>
      </c>
      <c r="E4">
        <v>2016</v>
      </c>
      <c r="F4">
        <v>8</v>
      </c>
      <c r="G4">
        <v>1</v>
      </c>
      <c r="H4" s="112"/>
      <c r="I4">
        <v>0.5</v>
      </c>
      <c r="J4" s="8"/>
      <c r="K4" s="3" t="s">
        <v>623</v>
      </c>
      <c r="L4" s="3" t="s">
        <v>605</v>
      </c>
      <c r="M4" s="3" t="s">
        <v>615</v>
      </c>
      <c r="N4" s="3" t="s">
        <v>629</v>
      </c>
      <c r="W4">
        <v>27.16</v>
      </c>
      <c r="X4" s="3"/>
      <c r="Y4" s="178" t="s">
        <v>1103</v>
      </c>
      <c r="AB4">
        <v>35.995971641627797</v>
      </c>
      <c r="AE4">
        <v>1.0443</v>
      </c>
    </row>
    <row r="5" spans="1:33" x14ac:dyDescent="0.35">
      <c r="A5" s="13" t="s">
        <v>989</v>
      </c>
      <c r="B5" s="3" t="s">
        <v>998</v>
      </c>
      <c r="C5" t="s">
        <v>1001</v>
      </c>
      <c r="D5" t="s">
        <v>1020</v>
      </c>
      <c r="E5">
        <v>2016</v>
      </c>
      <c r="F5">
        <v>8</v>
      </c>
      <c r="G5">
        <v>1</v>
      </c>
      <c r="H5" s="113"/>
      <c r="I5">
        <v>1.5</v>
      </c>
      <c r="J5" s="8"/>
      <c r="K5" s="3" t="s">
        <v>623</v>
      </c>
      <c r="L5" s="3" t="s">
        <v>605</v>
      </c>
      <c r="M5" s="3" t="s">
        <v>615</v>
      </c>
      <c r="N5" s="3" t="s">
        <v>629</v>
      </c>
      <c r="W5">
        <v>27.62</v>
      </c>
      <c r="X5" s="3"/>
      <c r="Y5" s="178" t="s">
        <v>1103</v>
      </c>
      <c r="AB5">
        <v>73.197780448063696</v>
      </c>
      <c r="AE5">
        <v>1.0818000000000001</v>
      </c>
    </row>
    <row r="6" spans="1:33" x14ac:dyDescent="0.35">
      <c r="A6" s="13" t="s">
        <v>989</v>
      </c>
      <c r="B6" s="3" t="s">
        <v>998</v>
      </c>
      <c r="C6" t="s">
        <v>1001</v>
      </c>
      <c r="D6" t="s">
        <v>1021</v>
      </c>
      <c r="E6">
        <v>2016</v>
      </c>
      <c r="F6">
        <v>8</v>
      </c>
      <c r="G6">
        <v>1</v>
      </c>
      <c r="H6" s="113"/>
      <c r="I6">
        <v>3</v>
      </c>
      <c r="J6" s="8"/>
      <c r="K6" s="3" t="s">
        <v>623</v>
      </c>
      <c r="L6" s="3" t="s">
        <v>605</v>
      </c>
      <c r="M6" s="3" t="s">
        <v>615</v>
      </c>
      <c r="N6" s="3" t="s">
        <v>629</v>
      </c>
      <c r="W6">
        <v>27.13</v>
      </c>
      <c r="X6" s="3"/>
      <c r="Y6" s="178" t="s">
        <v>1103</v>
      </c>
      <c r="AB6">
        <v>124.784288659655</v>
      </c>
      <c r="AE6">
        <v>1.1337999999999999</v>
      </c>
    </row>
    <row r="7" spans="1:33" x14ac:dyDescent="0.35">
      <c r="A7" s="13" t="s">
        <v>989</v>
      </c>
      <c r="B7" s="3" t="s">
        <v>998</v>
      </c>
      <c r="C7" t="s">
        <v>1001</v>
      </c>
      <c r="D7" t="s">
        <v>1022</v>
      </c>
      <c r="E7">
        <v>2016</v>
      </c>
      <c r="F7">
        <v>8</v>
      </c>
      <c r="G7">
        <v>1</v>
      </c>
      <c r="H7" s="113"/>
      <c r="I7">
        <v>5</v>
      </c>
      <c r="K7" s="3" t="s">
        <v>623</v>
      </c>
      <c r="L7" s="3" t="s">
        <v>605</v>
      </c>
      <c r="M7" s="3" t="s">
        <v>615</v>
      </c>
      <c r="N7" s="3" t="s">
        <v>629</v>
      </c>
      <c r="W7">
        <v>27.94</v>
      </c>
      <c r="X7" s="3"/>
      <c r="Y7" s="178" t="s">
        <v>1103</v>
      </c>
      <c r="AB7">
        <v>123.197011483914</v>
      </c>
      <c r="AE7">
        <v>1.1322000000000001</v>
      </c>
    </row>
    <row r="8" spans="1:33" x14ac:dyDescent="0.35">
      <c r="A8" s="13" t="s">
        <v>989</v>
      </c>
      <c r="B8" s="3" t="s">
        <v>998</v>
      </c>
      <c r="C8" t="s">
        <v>1001</v>
      </c>
      <c r="D8" t="s">
        <v>1023</v>
      </c>
      <c r="E8">
        <v>2018</v>
      </c>
      <c r="F8">
        <v>2</v>
      </c>
      <c r="G8">
        <v>22</v>
      </c>
      <c r="H8" s="113"/>
      <c r="I8">
        <v>0.5</v>
      </c>
      <c r="K8" s="3" t="s">
        <v>623</v>
      </c>
      <c r="L8" s="3" t="s">
        <v>605</v>
      </c>
      <c r="M8" s="3" t="s">
        <v>615</v>
      </c>
      <c r="N8" s="3" t="s">
        <v>629</v>
      </c>
      <c r="W8">
        <v>28.51</v>
      </c>
      <c r="X8" s="3"/>
      <c r="Y8" s="178" t="s">
        <v>1103</v>
      </c>
      <c r="AB8">
        <v>9.6608105888107403</v>
      </c>
      <c r="AE8">
        <v>1.018</v>
      </c>
    </row>
    <row r="9" spans="1:33" x14ac:dyDescent="0.35">
      <c r="A9" s="13" t="s">
        <v>989</v>
      </c>
      <c r="B9" s="3" t="s">
        <v>998</v>
      </c>
      <c r="C9" t="s">
        <v>1001</v>
      </c>
      <c r="D9" t="s">
        <v>1024</v>
      </c>
      <c r="E9">
        <v>2018</v>
      </c>
      <c r="F9">
        <v>2</v>
      </c>
      <c r="G9">
        <v>22</v>
      </c>
      <c r="H9" s="113"/>
      <c r="I9">
        <v>1.5</v>
      </c>
      <c r="K9" s="3" t="s">
        <v>623</v>
      </c>
      <c r="L9" s="3" t="s">
        <v>605</v>
      </c>
      <c r="M9" s="3" t="s">
        <v>615</v>
      </c>
      <c r="N9" s="3" t="s">
        <v>629</v>
      </c>
      <c r="W9">
        <v>29.2</v>
      </c>
      <c r="X9" s="3"/>
      <c r="Y9" s="178" t="s">
        <v>1103</v>
      </c>
      <c r="AB9">
        <v>10.7517996768731</v>
      </c>
      <c r="AE9">
        <v>1.0190999999999999</v>
      </c>
    </row>
    <row r="10" spans="1:33" x14ac:dyDescent="0.35">
      <c r="A10" s="13" t="s">
        <v>989</v>
      </c>
      <c r="B10" s="3" t="s">
        <v>998</v>
      </c>
      <c r="C10" t="s">
        <v>1001</v>
      </c>
      <c r="D10" t="s">
        <v>1025</v>
      </c>
      <c r="E10">
        <v>2018</v>
      </c>
      <c r="F10">
        <v>2</v>
      </c>
      <c r="G10">
        <v>22</v>
      </c>
      <c r="H10" s="113"/>
      <c r="I10">
        <v>3</v>
      </c>
      <c r="K10" s="3" t="s">
        <v>623</v>
      </c>
      <c r="L10" s="3" t="s">
        <v>605</v>
      </c>
      <c r="M10" s="3" t="s">
        <v>615</v>
      </c>
      <c r="N10" s="3" t="s">
        <v>629</v>
      </c>
      <c r="W10">
        <v>29.3</v>
      </c>
      <c r="X10" s="3"/>
      <c r="Y10" s="178" t="s">
        <v>1103</v>
      </c>
      <c r="AB10">
        <v>124.01630318300499</v>
      </c>
      <c r="AE10">
        <v>1.1333</v>
      </c>
    </row>
    <row r="11" spans="1:33" x14ac:dyDescent="0.35">
      <c r="A11" s="13" t="s">
        <v>989</v>
      </c>
      <c r="B11" s="3" t="s">
        <v>998</v>
      </c>
      <c r="C11" t="s">
        <v>1001</v>
      </c>
      <c r="D11" t="s">
        <v>1026</v>
      </c>
      <c r="E11">
        <v>2018</v>
      </c>
      <c r="F11">
        <v>2</v>
      </c>
      <c r="G11">
        <v>22</v>
      </c>
      <c r="H11" s="113"/>
      <c r="I11">
        <v>5</v>
      </c>
      <c r="K11" s="3" t="s">
        <v>623</v>
      </c>
      <c r="L11" s="3" t="s">
        <v>605</v>
      </c>
      <c r="M11" s="3" t="s">
        <v>615</v>
      </c>
      <c r="N11" s="3" t="s">
        <v>629</v>
      </c>
      <c r="W11">
        <v>29.14</v>
      </c>
      <c r="X11" s="3"/>
      <c r="Y11" s="178" t="s">
        <v>1103</v>
      </c>
      <c r="AB11">
        <v>121.04087839738</v>
      </c>
      <c r="AE11">
        <v>1.1303000000000001</v>
      </c>
    </row>
    <row r="12" spans="1:33" x14ac:dyDescent="0.35">
      <c r="A12" s="13" t="s">
        <v>989</v>
      </c>
      <c r="B12" s="3" t="s">
        <v>998</v>
      </c>
      <c r="C12" t="s">
        <v>1002</v>
      </c>
      <c r="D12" t="s">
        <v>1027</v>
      </c>
      <c r="E12">
        <v>2016</v>
      </c>
      <c r="F12">
        <v>8</v>
      </c>
      <c r="G12">
        <v>1</v>
      </c>
      <c r="H12" s="113"/>
      <c r="I12">
        <v>0.5</v>
      </c>
      <c r="K12" s="3" t="s">
        <v>623</v>
      </c>
      <c r="L12" s="3" t="s">
        <v>605</v>
      </c>
      <c r="M12" s="3" t="s">
        <v>615</v>
      </c>
      <c r="N12" s="3" t="s">
        <v>629</v>
      </c>
      <c r="W12">
        <v>27.16</v>
      </c>
      <c r="X12" s="3"/>
      <c r="Y12" s="178" t="s">
        <v>1103</v>
      </c>
      <c r="AB12">
        <v>43.932357520334101</v>
      </c>
      <c r="AE12">
        <v>1.0523</v>
      </c>
    </row>
    <row r="13" spans="1:33" x14ac:dyDescent="0.35">
      <c r="A13" s="13" t="s">
        <v>989</v>
      </c>
      <c r="B13" s="3" t="s">
        <v>998</v>
      </c>
      <c r="C13" t="s">
        <v>1002</v>
      </c>
      <c r="D13" t="s">
        <v>1028</v>
      </c>
      <c r="E13">
        <v>2016</v>
      </c>
      <c r="F13">
        <v>8</v>
      </c>
      <c r="G13">
        <v>1</v>
      </c>
      <c r="H13" s="113"/>
      <c r="I13">
        <v>1.5</v>
      </c>
      <c r="K13" s="3" t="s">
        <v>623</v>
      </c>
      <c r="L13" s="3" t="s">
        <v>605</v>
      </c>
      <c r="M13" s="3" t="s">
        <v>615</v>
      </c>
      <c r="N13" s="3" t="s">
        <v>629</v>
      </c>
      <c r="W13">
        <v>26.72</v>
      </c>
      <c r="X13" s="3"/>
      <c r="Y13" s="178" t="s">
        <v>1103</v>
      </c>
      <c r="AB13">
        <v>80.042913268447904</v>
      </c>
      <c r="AE13">
        <v>1.0887</v>
      </c>
    </row>
    <row r="14" spans="1:33" x14ac:dyDescent="0.35">
      <c r="A14" s="13" t="s">
        <v>989</v>
      </c>
      <c r="B14" s="3" t="s">
        <v>998</v>
      </c>
      <c r="C14" t="s">
        <v>1002</v>
      </c>
      <c r="D14" t="s">
        <v>1029</v>
      </c>
      <c r="E14">
        <v>2016</v>
      </c>
      <c r="F14">
        <v>8</v>
      </c>
      <c r="G14">
        <v>1</v>
      </c>
      <c r="H14" s="113"/>
      <c r="I14">
        <v>3</v>
      </c>
      <c r="K14" s="3" t="s">
        <v>623</v>
      </c>
      <c r="L14" s="3" t="s">
        <v>605</v>
      </c>
      <c r="M14" s="3" t="s">
        <v>615</v>
      </c>
      <c r="N14" s="3" t="s">
        <v>629</v>
      </c>
      <c r="W14">
        <v>28</v>
      </c>
      <c r="X14" s="3"/>
      <c r="Y14" s="178" t="s">
        <v>1103</v>
      </c>
      <c r="AB14">
        <v>137.680915712553</v>
      </c>
      <c r="AE14">
        <v>1.1468</v>
      </c>
    </row>
    <row r="15" spans="1:33" x14ac:dyDescent="0.35">
      <c r="A15" s="13" t="s">
        <v>989</v>
      </c>
      <c r="B15" s="3" t="s">
        <v>998</v>
      </c>
      <c r="C15" t="s">
        <v>1002</v>
      </c>
      <c r="D15" t="s">
        <v>1030</v>
      </c>
      <c r="E15">
        <v>2016</v>
      </c>
      <c r="F15">
        <v>8</v>
      </c>
      <c r="G15">
        <v>1</v>
      </c>
      <c r="H15" s="113"/>
      <c r="I15">
        <v>5</v>
      </c>
      <c r="K15" s="3" t="s">
        <v>623</v>
      </c>
      <c r="L15" s="3" t="s">
        <v>605</v>
      </c>
      <c r="M15" s="3" t="s">
        <v>615</v>
      </c>
      <c r="N15" s="3" t="s">
        <v>629</v>
      </c>
      <c r="W15">
        <v>28.53</v>
      </c>
      <c r="X15" s="3"/>
      <c r="Y15" s="178" t="s">
        <v>1103</v>
      </c>
      <c r="AB15">
        <v>141.351494181454</v>
      </c>
      <c r="AE15">
        <v>1.1505000000000001</v>
      </c>
    </row>
    <row r="16" spans="1:33" x14ac:dyDescent="0.35">
      <c r="A16" s="13" t="s">
        <v>989</v>
      </c>
      <c r="B16" s="3" t="s">
        <v>998</v>
      </c>
      <c r="C16" t="s">
        <v>1002</v>
      </c>
      <c r="D16" t="s">
        <v>1031</v>
      </c>
      <c r="E16">
        <v>2018</v>
      </c>
      <c r="F16">
        <v>2</v>
      </c>
      <c r="G16">
        <v>22</v>
      </c>
      <c r="H16" s="113"/>
      <c r="I16">
        <v>0.5</v>
      </c>
      <c r="K16" s="3" t="s">
        <v>623</v>
      </c>
      <c r="L16" s="3" t="s">
        <v>605</v>
      </c>
      <c r="M16" s="3" t="s">
        <v>615</v>
      </c>
      <c r="N16" s="3" t="s">
        <v>629</v>
      </c>
      <c r="W16">
        <v>29.97</v>
      </c>
      <c r="X16" s="3"/>
      <c r="Y16" s="178" t="s">
        <v>1103</v>
      </c>
      <c r="AB16">
        <v>36.439633659437298</v>
      </c>
      <c r="AE16">
        <v>1.0449999999999999</v>
      </c>
    </row>
    <row r="17" spans="1:31" x14ac:dyDescent="0.35">
      <c r="A17" s="13" t="s">
        <v>989</v>
      </c>
      <c r="B17" s="3" t="s">
        <v>998</v>
      </c>
      <c r="C17" t="s">
        <v>1002</v>
      </c>
      <c r="D17" t="s">
        <v>1032</v>
      </c>
      <c r="E17">
        <v>2018</v>
      </c>
      <c r="F17">
        <v>2</v>
      </c>
      <c r="G17">
        <v>22</v>
      </c>
      <c r="H17" s="113"/>
      <c r="I17">
        <v>1.5</v>
      </c>
      <c r="K17" s="3" t="s">
        <v>623</v>
      </c>
      <c r="L17" s="3" t="s">
        <v>605</v>
      </c>
      <c r="M17" s="3" t="s">
        <v>615</v>
      </c>
      <c r="N17" s="3" t="s">
        <v>629</v>
      </c>
      <c r="W17">
        <v>29.25</v>
      </c>
      <c r="X17" s="3"/>
      <c r="Y17" s="178" t="s">
        <v>1103</v>
      </c>
      <c r="AB17">
        <v>65.400434906189005</v>
      </c>
      <c r="AE17">
        <v>1.0742</v>
      </c>
    </row>
    <row r="18" spans="1:31" x14ac:dyDescent="0.35">
      <c r="A18" s="13" t="s">
        <v>989</v>
      </c>
      <c r="B18" s="3" t="s">
        <v>998</v>
      </c>
      <c r="C18" t="s">
        <v>1002</v>
      </c>
      <c r="D18" t="s">
        <v>1033</v>
      </c>
      <c r="E18">
        <v>2018</v>
      </c>
      <c r="F18">
        <v>2</v>
      </c>
      <c r="G18">
        <v>22</v>
      </c>
      <c r="H18" s="113"/>
      <c r="I18">
        <v>3</v>
      </c>
      <c r="K18" s="3" t="s">
        <v>623</v>
      </c>
      <c r="L18" s="3" t="s">
        <v>605</v>
      </c>
      <c r="M18" s="3" t="s">
        <v>615</v>
      </c>
      <c r="N18" s="3" t="s">
        <v>629</v>
      </c>
      <c r="W18">
        <v>29.56</v>
      </c>
      <c r="X18" s="3"/>
      <c r="Y18" s="178" t="s">
        <v>1103</v>
      </c>
      <c r="AB18">
        <v>135.124555716006</v>
      </c>
      <c r="AE18">
        <v>1.1445000000000001</v>
      </c>
    </row>
    <row r="19" spans="1:31" x14ac:dyDescent="0.35">
      <c r="A19" s="13" t="s">
        <v>989</v>
      </c>
      <c r="B19" s="3" t="s">
        <v>998</v>
      </c>
      <c r="C19" t="s">
        <v>1002</v>
      </c>
      <c r="D19" t="s">
        <v>1034</v>
      </c>
      <c r="E19">
        <v>2018</v>
      </c>
      <c r="F19">
        <v>2</v>
      </c>
      <c r="G19">
        <v>22</v>
      </c>
      <c r="H19" s="113"/>
      <c r="I19">
        <v>5</v>
      </c>
      <c r="K19" s="3" t="s">
        <v>623</v>
      </c>
      <c r="L19" s="3" t="s">
        <v>605</v>
      </c>
      <c r="M19" s="3" t="s">
        <v>615</v>
      </c>
      <c r="N19" s="3" t="s">
        <v>629</v>
      </c>
      <c r="W19">
        <v>28.7</v>
      </c>
      <c r="X19" s="3"/>
      <c r="Y19" s="178" t="s">
        <v>1103</v>
      </c>
      <c r="AB19">
        <v>134.033566627943</v>
      </c>
      <c r="AE19">
        <v>1.1434</v>
      </c>
    </row>
    <row r="20" spans="1:31" x14ac:dyDescent="0.35">
      <c r="A20" s="13" t="s">
        <v>989</v>
      </c>
      <c r="B20" s="3" t="s">
        <v>998</v>
      </c>
      <c r="C20" t="s">
        <v>1002</v>
      </c>
      <c r="D20" t="s">
        <v>1035</v>
      </c>
      <c r="E20">
        <v>2021</v>
      </c>
      <c r="F20">
        <v>3</v>
      </c>
      <c r="G20">
        <v>23</v>
      </c>
      <c r="H20" s="113"/>
      <c r="I20">
        <v>1.5</v>
      </c>
      <c r="K20" s="3" t="s">
        <v>623</v>
      </c>
      <c r="L20" s="3" t="s">
        <v>605</v>
      </c>
      <c r="M20" s="3" t="s">
        <v>615</v>
      </c>
      <c r="N20" s="3" t="s">
        <v>629</v>
      </c>
      <c r="X20" s="3"/>
      <c r="Y20" s="178" t="s">
        <v>1103</v>
      </c>
      <c r="AB20">
        <v>36.856748502998698</v>
      </c>
      <c r="AE20">
        <v>1.0458000000000001</v>
      </c>
    </row>
    <row r="21" spans="1:31" x14ac:dyDescent="0.35">
      <c r="A21" s="13" t="s">
        <v>989</v>
      </c>
      <c r="B21" s="3" t="s">
        <v>998</v>
      </c>
      <c r="C21" t="s">
        <v>1002</v>
      </c>
      <c r="D21" t="s">
        <v>1036</v>
      </c>
      <c r="E21">
        <v>2021</v>
      </c>
      <c r="F21">
        <v>3</v>
      </c>
      <c r="G21">
        <v>23</v>
      </c>
      <c r="H21" s="113"/>
      <c r="I21">
        <v>5</v>
      </c>
      <c r="K21" s="3" t="s">
        <v>623</v>
      </c>
      <c r="L21" s="3" t="s">
        <v>605</v>
      </c>
      <c r="M21" s="3" t="s">
        <v>615</v>
      </c>
      <c r="N21" s="3" t="s">
        <v>629</v>
      </c>
      <c r="X21" s="3"/>
      <c r="Y21" s="178" t="s">
        <v>1103</v>
      </c>
      <c r="AB21">
        <v>114.784593628583</v>
      </c>
      <c r="AE21">
        <v>1.1244000000000001</v>
      </c>
    </row>
    <row r="22" spans="1:31" x14ac:dyDescent="0.35">
      <c r="A22" s="13" t="s">
        <v>989</v>
      </c>
      <c r="B22" s="3" t="s">
        <v>998</v>
      </c>
      <c r="C22" t="s">
        <v>1003</v>
      </c>
      <c r="D22" t="s">
        <v>1037</v>
      </c>
      <c r="E22">
        <v>2016</v>
      </c>
      <c r="F22">
        <v>8</v>
      </c>
      <c r="G22">
        <v>1</v>
      </c>
      <c r="I22">
        <v>0.5</v>
      </c>
      <c r="K22" s="3" t="s">
        <v>623</v>
      </c>
      <c r="L22" s="3" t="s">
        <v>605</v>
      </c>
      <c r="M22" s="3" t="s">
        <v>615</v>
      </c>
      <c r="N22" s="3" t="s">
        <v>629</v>
      </c>
      <c r="W22">
        <v>26.81</v>
      </c>
      <c r="X22" s="3"/>
      <c r="Y22" s="178" t="s">
        <v>1103</v>
      </c>
      <c r="AB22">
        <v>22.504115647827</v>
      </c>
      <c r="AE22">
        <v>1.0306999999999999</v>
      </c>
    </row>
    <row r="23" spans="1:31" x14ac:dyDescent="0.35">
      <c r="A23" s="13" t="s">
        <v>989</v>
      </c>
      <c r="B23" s="3" t="s">
        <v>998</v>
      </c>
      <c r="C23" t="s">
        <v>1003</v>
      </c>
      <c r="D23" t="s">
        <v>1038</v>
      </c>
      <c r="E23">
        <v>2016</v>
      </c>
      <c r="F23">
        <v>8</v>
      </c>
      <c r="G23">
        <v>1</v>
      </c>
      <c r="I23">
        <v>1.5</v>
      </c>
      <c r="K23" s="3" t="s">
        <v>623</v>
      </c>
      <c r="L23" s="3" t="s">
        <v>605</v>
      </c>
      <c r="M23" s="3" t="s">
        <v>615</v>
      </c>
      <c r="N23" s="3" t="s">
        <v>629</v>
      </c>
      <c r="W23">
        <v>29.09</v>
      </c>
      <c r="X23" s="3"/>
      <c r="Y23" s="178" t="s">
        <v>1103</v>
      </c>
      <c r="AB23">
        <v>41.650646580206001</v>
      </c>
      <c r="AE23">
        <v>1.05</v>
      </c>
    </row>
    <row r="24" spans="1:31" x14ac:dyDescent="0.35">
      <c r="A24" s="13" t="s">
        <v>989</v>
      </c>
      <c r="B24" s="3" t="s">
        <v>998</v>
      </c>
      <c r="C24" t="s">
        <v>1003</v>
      </c>
      <c r="D24" t="s">
        <v>1039</v>
      </c>
      <c r="E24">
        <v>2016</v>
      </c>
      <c r="F24">
        <v>8</v>
      </c>
      <c r="G24">
        <v>1</v>
      </c>
      <c r="I24">
        <v>3</v>
      </c>
      <c r="K24" s="3" t="s">
        <v>623</v>
      </c>
      <c r="L24" s="3" t="s">
        <v>605</v>
      </c>
      <c r="M24" s="3" t="s">
        <v>615</v>
      </c>
      <c r="N24" s="3" t="s">
        <v>629</v>
      </c>
      <c r="W24">
        <v>28.58</v>
      </c>
      <c r="X24" s="3"/>
      <c r="Y24" s="178" t="s">
        <v>1103</v>
      </c>
      <c r="AB24">
        <v>126.173156188429</v>
      </c>
      <c r="AE24">
        <v>1.1352</v>
      </c>
    </row>
    <row r="25" spans="1:31" x14ac:dyDescent="0.35">
      <c r="A25" s="13" t="s">
        <v>989</v>
      </c>
      <c r="B25" s="3" t="s">
        <v>998</v>
      </c>
      <c r="C25" t="s">
        <v>1003</v>
      </c>
      <c r="D25" t="s">
        <v>1040</v>
      </c>
      <c r="E25">
        <v>2016</v>
      </c>
      <c r="F25">
        <v>8</v>
      </c>
      <c r="G25">
        <v>1</v>
      </c>
      <c r="I25">
        <v>5</v>
      </c>
      <c r="K25" s="3" t="s">
        <v>623</v>
      </c>
      <c r="L25" s="3" t="s">
        <v>605</v>
      </c>
      <c r="M25" s="3" t="s">
        <v>615</v>
      </c>
      <c r="N25" s="3" t="s">
        <v>629</v>
      </c>
      <c r="W25">
        <v>28.47</v>
      </c>
      <c r="X25" s="3"/>
      <c r="Y25" s="178" t="s">
        <v>1103</v>
      </c>
      <c r="AB25">
        <v>129.44691536339499</v>
      </c>
      <c r="AE25">
        <v>1.1385000000000001</v>
      </c>
    </row>
    <row r="26" spans="1:31" x14ac:dyDescent="0.35">
      <c r="A26" s="13" t="s">
        <v>989</v>
      </c>
      <c r="B26" s="3" t="s">
        <v>998</v>
      </c>
      <c r="C26" t="s">
        <v>1003</v>
      </c>
      <c r="D26" t="s">
        <v>1041</v>
      </c>
      <c r="E26">
        <v>2018</v>
      </c>
      <c r="F26">
        <v>2</v>
      </c>
      <c r="G26">
        <v>22</v>
      </c>
      <c r="I26">
        <v>0.5</v>
      </c>
      <c r="K26" s="3" t="s">
        <v>623</v>
      </c>
      <c r="L26" s="3" t="s">
        <v>605</v>
      </c>
      <c r="M26" s="3" t="s">
        <v>615</v>
      </c>
      <c r="N26" s="3" t="s">
        <v>629</v>
      </c>
      <c r="W26">
        <v>29.69</v>
      </c>
      <c r="X26" s="3"/>
      <c r="Y26" s="178" t="s">
        <v>1103</v>
      </c>
      <c r="AB26">
        <v>12.9337778529981</v>
      </c>
      <c r="AE26">
        <v>1.0213000000000001</v>
      </c>
    </row>
    <row r="27" spans="1:31" x14ac:dyDescent="0.35">
      <c r="A27" s="13" t="s">
        <v>989</v>
      </c>
      <c r="B27" s="3" t="s">
        <v>998</v>
      </c>
      <c r="C27" t="s">
        <v>1003</v>
      </c>
      <c r="D27" t="s">
        <v>1042</v>
      </c>
      <c r="E27">
        <v>2018</v>
      </c>
      <c r="F27">
        <v>2</v>
      </c>
      <c r="G27">
        <v>22</v>
      </c>
      <c r="I27">
        <v>3</v>
      </c>
      <c r="K27" s="3" t="s">
        <v>623</v>
      </c>
      <c r="L27" s="3" t="s">
        <v>605</v>
      </c>
      <c r="M27" s="3" t="s">
        <v>615</v>
      </c>
      <c r="N27" s="3" t="s">
        <v>629</v>
      </c>
      <c r="W27">
        <v>29.44</v>
      </c>
      <c r="X27" s="3"/>
      <c r="Y27" s="178" t="s">
        <v>1103</v>
      </c>
      <c r="AB27">
        <v>125.40483474963</v>
      </c>
      <c r="AE27">
        <v>1.1347</v>
      </c>
    </row>
    <row r="28" spans="1:31" x14ac:dyDescent="0.35">
      <c r="A28" s="13" t="s">
        <v>989</v>
      </c>
      <c r="B28" s="3" t="s">
        <v>998</v>
      </c>
      <c r="C28" t="s">
        <v>1003</v>
      </c>
      <c r="D28" t="s">
        <v>1043</v>
      </c>
      <c r="E28">
        <v>2018</v>
      </c>
      <c r="F28">
        <v>2</v>
      </c>
      <c r="G28">
        <v>22</v>
      </c>
      <c r="I28">
        <v>5</v>
      </c>
      <c r="K28" s="3" t="s">
        <v>623</v>
      </c>
      <c r="L28" s="3" t="s">
        <v>605</v>
      </c>
      <c r="M28" s="3" t="s">
        <v>615</v>
      </c>
      <c r="N28" s="3" t="s">
        <v>629</v>
      </c>
      <c r="W28">
        <v>28.77</v>
      </c>
      <c r="X28" s="3"/>
      <c r="Y28" s="178" t="s">
        <v>1103</v>
      </c>
      <c r="AB28">
        <v>125.99991970675499</v>
      </c>
      <c r="AE28">
        <v>1.1353</v>
      </c>
    </row>
    <row r="29" spans="1:31" x14ac:dyDescent="0.35">
      <c r="A29" s="13" t="s">
        <v>989</v>
      </c>
      <c r="B29" s="3" t="s">
        <v>998</v>
      </c>
      <c r="C29" t="s">
        <v>1003</v>
      </c>
      <c r="D29" t="s">
        <v>1044</v>
      </c>
      <c r="E29">
        <v>2021</v>
      </c>
      <c r="F29">
        <v>3</v>
      </c>
      <c r="G29">
        <v>23</v>
      </c>
      <c r="I29">
        <v>0.5</v>
      </c>
      <c r="K29" s="3" t="s">
        <v>623</v>
      </c>
      <c r="L29" s="3" t="s">
        <v>605</v>
      </c>
      <c r="M29" s="3" t="s">
        <v>615</v>
      </c>
      <c r="N29" s="3" t="s">
        <v>629</v>
      </c>
      <c r="X29" s="3"/>
      <c r="Y29" s="178" t="s">
        <v>1103</v>
      </c>
      <c r="AB29">
        <v>8.5013239407629708</v>
      </c>
      <c r="AE29">
        <v>1.0172000000000001</v>
      </c>
    </row>
    <row r="30" spans="1:31" x14ac:dyDescent="0.35">
      <c r="A30" s="13" t="s">
        <v>989</v>
      </c>
      <c r="B30" s="3" t="s">
        <v>998</v>
      </c>
      <c r="C30" t="s">
        <v>1003</v>
      </c>
      <c r="D30" t="s">
        <v>1045</v>
      </c>
      <c r="E30">
        <v>2021</v>
      </c>
      <c r="F30">
        <v>3</v>
      </c>
      <c r="G30">
        <v>23</v>
      </c>
      <c r="I30">
        <v>1.5</v>
      </c>
      <c r="K30" s="3" t="s">
        <v>623</v>
      </c>
      <c r="L30" s="3" t="s">
        <v>605</v>
      </c>
      <c r="M30" s="3" t="s">
        <v>615</v>
      </c>
      <c r="N30" s="3" t="s">
        <v>629</v>
      </c>
      <c r="X30" s="3"/>
      <c r="Y30" s="178" t="s">
        <v>1103</v>
      </c>
      <c r="AB30">
        <v>10.2859310810439</v>
      </c>
      <c r="AE30">
        <v>1.0189999999999999</v>
      </c>
    </row>
    <row r="31" spans="1:31" x14ac:dyDescent="0.35">
      <c r="A31" s="13" t="s">
        <v>989</v>
      </c>
      <c r="B31" s="3" t="s">
        <v>998</v>
      </c>
      <c r="C31" t="s">
        <v>1003</v>
      </c>
      <c r="D31" t="s">
        <v>1046</v>
      </c>
      <c r="E31">
        <v>2021</v>
      </c>
      <c r="F31">
        <v>3</v>
      </c>
      <c r="G31">
        <v>23</v>
      </c>
      <c r="I31">
        <v>5</v>
      </c>
      <c r="K31" s="3" t="s">
        <v>623</v>
      </c>
      <c r="L31" s="3" t="s">
        <v>605</v>
      </c>
      <c r="M31" s="3" t="s">
        <v>615</v>
      </c>
      <c r="N31" s="3" t="s">
        <v>629</v>
      </c>
      <c r="X31" s="3"/>
      <c r="Y31" s="178" t="s">
        <v>1103</v>
      </c>
      <c r="AB31">
        <v>127.97085749843301</v>
      </c>
      <c r="AE31">
        <v>1.1376999999999999</v>
      </c>
    </row>
    <row r="32" spans="1:31" x14ac:dyDescent="0.35">
      <c r="A32" s="13" t="s">
        <v>989</v>
      </c>
      <c r="B32" s="3" t="s">
        <v>998</v>
      </c>
      <c r="C32" t="s">
        <v>1000</v>
      </c>
      <c r="D32" t="s">
        <v>1047</v>
      </c>
      <c r="E32">
        <v>2016</v>
      </c>
      <c r="F32">
        <v>8</v>
      </c>
      <c r="G32">
        <v>1</v>
      </c>
      <c r="I32">
        <v>1.5</v>
      </c>
      <c r="K32" s="3" t="s">
        <v>623</v>
      </c>
      <c r="L32" s="3" t="s">
        <v>605</v>
      </c>
      <c r="M32" s="3" t="s">
        <v>615</v>
      </c>
      <c r="N32" s="3" t="s">
        <v>629</v>
      </c>
      <c r="W32">
        <v>27.84</v>
      </c>
      <c r="X32" s="3"/>
      <c r="Y32" s="178" t="s">
        <v>1103</v>
      </c>
      <c r="AB32">
        <v>48.793393871041602</v>
      </c>
      <c r="AE32">
        <v>1.0571999999999999</v>
      </c>
    </row>
    <row r="33" spans="1:31" x14ac:dyDescent="0.35">
      <c r="A33" s="13" t="s">
        <v>989</v>
      </c>
      <c r="B33" s="3" t="s">
        <v>998</v>
      </c>
      <c r="C33" t="s">
        <v>1000</v>
      </c>
      <c r="D33" t="s">
        <v>1048</v>
      </c>
      <c r="E33">
        <v>2016</v>
      </c>
      <c r="F33">
        <v>8</v>
      </c>
      <c r="G33">
        <v>1</v>
      </c>
      <c r="I33">
        <v>3</v>
      </c>
      <c r="K33" s="3" t="s">
        <v>623</v>
      </c>
      <c r="L33" s="3" t="s">
        <v>605</v>
      </c>
      <c r="M33" s="3" t="s">
        <v>615</v>
      </c>
      <c r="N33" s="3" t="s">
        <v>629</v>
      </c>
      <c r="W33">
        <v>27.48</v>
      </c>
      <c r="X33" s="3"/>
      <c r="Y33" s="178" t="s">
        <v>1103</v>
      </c>
      <c r="AB33">
        <v>62.186045041358497</v>
      </c>
      <c r="AE33">
        <v>1.0707</v>
      </c>
    </row>
    <row r="34" spans="1:31" x14ac:dyDescent="0.35">
      <c r="A34" s="13" t="s">
        <v>989</v>
      </c>
      <c r="B34" s="3" t="s">
        <v>998</v>
      </c>
      <c r="C34" t="s">
        <v>1000</v>
      </c>
      <c r="D34" t="s">
        <v>1049</v>
      </c>
      <c r="E34">
        <v>2016</v>
      </c>
      <c r="F34">
        <v>8</v>
      </c>
      <c r="G34">
        <v>1</v>
      </c>
      <c r="I34">
        <v>5</v>
      </c>
      <c r="K34" s="3" t="s">
        <v>623</v>
      </c>
      <c r="L34" s="3" t="s">
        <v>605</v>
      </c>
      <c r="M34" s="3" t="s">
        <v>615</v>
      </c>
      <c r="N34" s="3" t="s">
        <v>629</v>
      </c>
      <c r="W34">
        <v>27.82</v>
      </c>
      <c r="X34" s="3"/>
      <c r="Y34" s="178" t="s">
        <v>1103</v>
      </c>
      <c r="AB34">
        <v>64.765370451938196</v>
      </c>
      <c r="AE34">
        <v>1.0732999999999999</v>
      </c>
    </row>
    <row r="35" spans="1:31" x14ac:dyDescent="0.35">
      <c r="A35" s="13" t="s">
        <v>989</v>
      </c>
      <c r="B35" s="3" t="s">
        <v>998</v>
      </c>
      <c r="C35" t="s">
        <v>1000</v>
      </c>
      <c r="D35" t="s">
        <v>1050</v>
      </c>
      <c r="E35">
        <v>2018</v>
      </c>
      <c r="F35">
        <v>2</v>
      </c>
      <c r="G35">
        <v>22</v>
      </c>
      <c r="I35">
        <v>0.5</v>
      </c>
      <c r="K35" s="3" t="s">
        <v>623</v>
      </c>
      <c r="L35" s="3" t="s">
        <v>605</v>
      </c>
      <c r="M35" s="3" t="s">
        <v>615</v>
      </c>
      <c r="N35" s="3" t="s">
        <v>629</v>
      </c>
      <c r="W35">
        <v>29.44</v>
      </c>
      <c r="X35" s="3"/>
      <c r="Y35" s="178" t="s">
        <v>1103</v>
      </c>
      <c r="AB35">
        <v>17.793638336186099</v>
      </c>
      <c r="AE35">
        <v>1.0262</v>
      </c>
    </row>
    <row r="36" spans="1:31" x14ac:dyDescent="0.35">
      <c r="A36" s="13" t="s">
        <v>989</v>
      </c>
      <c r="B36" s="3" t="s">
        <v>998</v>
      </c>
      <c r="C36" t="s">
        <v>1000</v>
      </c>
      <c r="D36" t="s">
        <v>1051</v>
      </c>
      <c r="E36">
        <v>2018</v>
      </c>
      <c r="F36">
        <v>2</v>
      </c>
      <c r="G36">
        <v>22</v>
      </c>
      <c r="I36">
        <v>1.5</v>
      </c>
      <c r="K36" s="3" t="s">
        <v>623</v>
      </c>
      <c r="L36" s="3" t="s">
        <v>605</v>
      </c>
      <c r="M36" s="3" t="s">
        <v>615</v>
      </c>
      <c r="N36" s="3" t="s">
        <v>629</v>
      </c>
      <c r="W36">
        <v>29.02</v>
      </c>
      <c r="X36" s="3"/>
      <c r="Y36" s="178" t="s">
        <v>1103</v>
      </c>
      <c r="AB36">
        <v>37.629803573687298</v>
      </c>
      <c r="AE36">
        <v>1.0462</v>
      </c>
    </row>
    <row r="37" spans="1:31" x14ac:dyDescent="0.35">
      <c r="A37" s="13" t="s">
        <v>989</v>
      </c>
      <c r="B37" s="3" t="s">
        <v>998</v>
      </c>
      <c r="C37" t="s">
        <v>1000</v>
      </c>
      <c r="D37" t="s">
        <v>1052</v>
      </c>
      <c r="E37">
        <v>2018</v>
      </c>
      <c r="F37">
        <v>2</v>
      </c>
      <c r="G37">
        <v>22</v>
      </c>
      <c r="I37">
        <v>3</v>
      </c>
      <c r="K37" s="3" t="s">
        <v>623</v>
      </c>
      <c r="L37" s="3" t="s">
        <v>605</v>
      </c>
      <c r="M37" s="3" t="s">
        <v>615</v>
      </c>
      <c r="N37" s="3" t="s">
        <v>629</v>
      </c>
      <c r="W37">
        <v>29.16</v>
      </c>
      <c r="X37" s="3"/>
      <c r="Y37" s="178" t="s">
        <v>1103</v>
      </c>
      <c r="AB37">
        <v>53.498735763688202</v>
      </c>
      <c r="AE37">
        <v>1.0622</v>
      </c>
    </row>
    <row r="38" spans="1:31" x14ac:dyDescent="0.35">
      <c r="A38" s="13" t="s">
        <v>989</v>
      </c>
      <c r="B38" s="3" t="s">
        <v>998</v>
      </c>
      <c r="C38" t="s">
        <v>1000</v>
      </c>
      <c r="D38" t="s">
        <v>1053</v>
      </c>
      <c r="E38">
        <v>2018</v>
      </c>
      <c r="F38">
        <v>2</v>
      </c>
      <c r="G38">
        <v>22</v>
      </c>
      <c r="I38">
        <v>5</v>
      </c>
      <c r="K38" s="3" t="s">
        <v>623</v>
      </c>
      <c r="L38" s="3" t="s">
        <v>605</v>
      </c>
      <c r="M38" s="3" t="s">
        <v>615</v>
      </c>
      <c r="N38" s="3" t="s">
        <v>629</v>
      </c>
      <c r="W38">
        <v>29.05</v>
      </c>
      <c r="X38" s="3"/>
      <c r="Y38" s="178" t="s">
        <v>1103</v>
      </c>
      <c r="AB38">
        <v>52.308565849438203</v>
      </c>
      <c r="AE38">
        <v>1.0609999999999999</v>
      </c>
    </row>
    <row r="39" spans="1:31" x14ac:dyDescent="0.35">
      <c r="A39" s="13" t="s">
        <v>989</v>
      </c>
      <c r="B39" s="3" t="s">
        <v>998</v>
      </c>
      <c r="C39" t="s">
        <v>1000</v>
      </c>
      <c r="D39" t="s">
        <v>1054</v>
      </c>
      <c r="E39">
        <v>2021</v>
      </c>
      <c r="F39">
        <v>3</v>
      </c>
      <c r="G39">
        <v>23</v>
      </c>
      <c r="I39">
        <v>1.5</v>
      </c>
      <c r="K39" s="3" t="s">
        <v>623</v>
      </c>
      <c r="L39" s="3" t="s">
        <v>605</v>
      </c>
      <c r="M39" s="3" t="s">
        <v>615</v>
      </c>
      <c r="N39" s="3" t="s">
        <v>629</v>
      </c>
      <c r="X39" s="3"/>
      <c r="Y39" s="178" t="s">
        <v>1103</v>
      </c>
      <c r="AB39">
        <v>55.495978634817497</v>
      </c>
      <c r="AE39">
        <v>1.0646</v>
      </c>
    </row>
    <row r="40" spans="1:31" x14ac:dyDescent="0.35">
      <c r="A40" s="13" t="s">
        <v>989</v>
      </c>
      <c r="B40" s="3" t="s">
        <v>998</v>
      </c>
      <c r="C40" t="s">
        <v>1000</v>
      </c>
      <c r="D40" t="s">
        <v>1055</v>
      </c>
      <c r="E40">
        <v>2021</v>
      </c>
      <c r="F40">
        <v>3</v>
      </c>
      <c r="G40">
        <v>23</v>
      </c>
      <c r="I40">
        <v>5</v>
      </c>
      <c r="K40" s="3" t="s">
        <v>623</v>
      </c>
      <c r="L40" s="3" t="s">
        <v>605</v>
      </c>
      <c r="M40" s="3" t="s">
        <v>615</v>
      </c>
      <c r="N40" s="3" t="s">
        <v>629</v>
      </c>
      <c r="W40">
        <v>-0.64</v>
      </c>
      <c r="X40" s="3"/>
      <c r="Y40" s="178" t="s">
        <v>1103</v>
      </c>
      <c r="AB40">
        <v>31.106347717650099</v>
      </c>
      <c r="AE40">
        <v>1.04</v>
      </c>
    </row>
    <row r="41" spans="1:31" x14ac:dyDescent="0.35">
      <c r="A41" s="13" t="s">
        <v>989</v>
      </c>
      <c r="B41" s="3" t="s">
        <v>998</v>
      </c>
      <c r="C41" t="s">
        <v>1004</v>
      </c>
      <c r="D41" t="s">
        <v>1056</v>
      </c>
      <c r="E41">
        <v>2016</v>
      </c>
      <c r="F41">
        <v>8</v>
      </c>
      <c r="G41">
        <v>1</v>
      </c>
      <c r="I41">
        <v>0.5</v>
      </c>
      <c r="K41" s="3" t="s">
        <v>623</v>
      </c>
      <c r="L41" s="3" t="s">
        <v>605</v>
      </c>
      <c r="M41" s="3" t="s">
        <v>615</v>
      </c>
      <c r="N41" s="3" t="s">
        <v>629</v>
      </c>
      <c r="W41">
        <v>30.11</v>
      </c>
      <c r="X41" s="3"/>
      <c r="Y41" s="178" t="s">
        <v>1103</v>
      </c>
      <c r="AB41">
        <v>68.039129626904497</v>
      </c>
      <c r="AE41">
        <v>1.0766</v>
      </c>
    </row>
    <row r="42" spans="1:31" x14ac:dyDescent="0.35">
      <c r="A42" s="13" t="s">
        <v>989</v>
      </c>
      <c r="B42" s="3" t="s">
        <v>998</v>
      </c>
      <c r="C42" t="s">
        <v>1004</v>
      </c>
      <c r="D42" t="s">
        <v>1057</v>
      </c>
      <c r="E42">
        <v>2016</v>
      </c>
      <c r="F42">
        <v>8</v>
      </c>
      <c r="G42">
        <v>1</v>
      </c>
      <c r="I42">
        <v>1.5</v>
      </c>
      <c r="K42" s="3" t="s">
        <v>623</v>
      </c>
      <c r="L42" s="3" t="s">
        <v>605</v>
      </c>
      <c r="M42" s="3" t="s">
        <v>615</v>
      </c>
      <c r="N42" s="3" t="s">
        <v>629</v>
      </c>
      <c r="W42">
        <v>27.5</v>
      </c>
      <c r="X42" s="3"/>
      <c r="Y42" s="178" t="s">
        <v>1103</v>
      </c>
      <c r="AB42">
        <v>87.681684676702801</v>
      </c>
      <c r="AE42">
        <v>1.0964</v>
      </c>
    </row>
    <row r="43" spans="1:31" x14ac:dyDescent="0.35">
      <c r="A43" s="13" t="s">
        <v>989</v>
      </c>
      <c r="B43" s="3" t="s">
        <v>998</v>
      </c>
      <c r="C43" t="s">
        <v>1004</v>
      </c>
      <c r="D43" t="s">
        <v>1058</v>
      </c>
      <c r="E43">
        <v>2016</v>
      </c>
      <c r="F43">
        <v>8</v>
      </c>
      <c r="G43">
        <v>1</v>
      </c>
      <c r="I43">
        <v>3</v>
      </c>
      <c r="K43" s="3" t="s">
        <v>623</v>
      </c>
      <c r="L43" s="3" t="s">
        <v>605</v>
      </c>
      <c r="M43" s="3" t="s">
        <v>615</v>
      </c>
      <c r="N43" s="3" t="s">
        <v>629</v>
      </c>
      <c r="W43">
        <v>28.15</v>
      </c>
      <c r="X43" s="3"/>
      <c r="Y43" s="178" t="s">
        <v>1103</v>
      </c>
      <c r="AB43">
        <v>111.590047136306</v>
      </c>
      <c r="AE43">
        <v>1.1205000000000001</v>
      </c>
    </row>
    <row r="44" spans="1:31" x14ac:dyDescent="0.35">
      <c r="A44" s="13" t="s">
        <v>989</v>
      </c>
      <c r="B44" s="3" t="s">
        <v>998</v>
      </c>
      <c r="C44" t="s">
        <v>1004</v>
      </c>
      <c r="D44" t="s">
        <v>1059</v>
      </c>
      <c r="E44">
        <v>2016</v>
      </c>
      <c r="F44">
        <v>8</v>
      </c>
      <c r="G44">
        <v>1</v>
      </c>
      <c r="I44">
        <v>5</v>
      </c>
      <c r="K44" s="3" t="s">
        <v>623</v>
      </c>
      <c r="L44" s="3" t="s">
        <v>605</v>
      </c>
      <c r="M44" s="3" t="s">
        <v>615</v>
      </c>
      <c r="N44" s="3" t="s">
        <v>629</v>
      </c>
      <c r="W44">
        <v>28.6</v>
      </c>
      <c r="X44" s="3"/>
      <c r="Y44" s="178" t="s">
        <v>1103</v>
      </c>
      <c r="AB44">
        <v>114.665396664304</v>
      </c>
      <c r="AE44">
        <v>1.1235999999999999</v>
      </c>
    </row>
    <row r="45" spans="1:31" x14ac:dyDescent="0.35">
      <c r="A45" s="13" t="s">
        <v>989</v>
      </c>
      <c r="B45" s="3" t="s">
        <v>998</v>
      </c>
      <c r="C45" t="s">
        <v>1004</v>
      </c>
      <c r="D45" t="s">
        <v>1060</v>
      </c>
      <c r="E45">
        <v>2018</v>
      </c>
      <c r="F45">
        <v>2</v>
      </c>
      <c r="G45">
        <v>22</v>
      </c>
      <c r="I45">
        <v>0.5</v>
      </c>
      <c r="K45" s="3" t="s">
        <v>623</v>
      </c>
      <c r="L45" s="3" t="s">
        <v>605</v>
      </c>
      <c r="M45" s="3" t="s">
        <v>615</v>
      </c>
      <c r="N45" s="3" t="s">
        <v>629</v>
      </c>
      <c r="W45">
        <v>28.8</v>
      </c>
      <c r="X45" s="3"/>
      <c r="Y45" s="178" t="s">
        <v>1103</v>
      </c>
      <c r="AB45">
        <v>39.613420097437398</v>
      </c>
      <c r="AE45">
        <v>1.0482</v>
      </c>
    </row>
    <row r="46" spans="1:31" x14ac:dyDescent="0.35">
      <c r="A46" s="13" t="s">
        <v>989</v>
      </c>
      <c r="B46" s="3" t="s">
        <v>998</v>
      </c>
      <c r="C46" t="s">
        <v>1004</v>
      </c>
      <c r="D46" t="s">
        <v>1061</v>
      </c>
      <c r="E46">
        <v>2018</v>
      </c>
      <c r="F46">
        <v>2</v>
      </c>
      <c r="G46">
        <v>22</v>
      </c>
      <c r="I46">
        <v>1.5</v>
      </c>
      <c r="K46" s="3" t="s">
        <v>623</v>
      </c>
      <c r="L46" s="3" t="s">
        <v>605</v>
      </c>
      <c r="M46" s="3" t="s">
        <v>615</v>
      </c>
      <c r="N46" s="3" t="s">
        <v>629</v>
      </c>
      <c r="W46">
        <v>29.42</v>
      </c>
      <c r="X46" s="3"/>
      <c r="Y46" s="178" t="s">
        <v>1103</v>
      </c>
      <c r="AB46">
        <v>69.367667953688994</v>
      </c>
      <c r="AE46">
        <v>1.0782</v>
      </c>
    </row>
    <row r="47" spans="1:31" x14ac:dyDescent="0.35">
      <c r="A47" s="13" t="s">
        <v>989</v>
      </c>
      <c r="B47" s="3" t="s">
        <v>998</v>
      </c>
      <c r="C47" t="s">
        <v>1004</v>
      </c>
      <c r="D47" t="s">
        <v>1062</v>
      </c>
      <c r="E47">
        <v>2018</v>
      </c>
      <c r="F47">
        <v>2</v>
      </c>
      <c r="G47">
        <v>22</v>
      </c>
      <c r="I47">
        <v>3</v>
      </c>
      <c r="K47" s="3" t="s">
        <v>623</v>
      </c>
      <c r="L47" s="3" t="s">
        <v>605</v>
      </c>
      <c r="M47" s="3" t="s">
        <v>615</v>
      </c>
      <c r="N47" s="3" t="s">
        <v>629</v>
      </c>
      <c r="W47">
        <v>27.8</v>
      </c>
      <c r="X47" s="3"/>
      <c r="Y47" s="178" t="s">
        <v>1103</v>
      </c>
      <c r="AB47">
        <v>89.898098974502801</v>
      </c>
      <c r="AE47">
        <v>1.0989</v>
      </c>
    </row>
    <row r="48" spans="1:31" x14ac:dyDescent="0.35">
      <c r="A48" s="13" t="s">
        <v>989</v>
      </c>
      <c r="B48" s="3" t="s">
        <v>998</v>
      </c>
      <c r="C48" t="s">
        <v>1004</v>
      </c>
      <c r="D48" t="s">
        <v>1063</v>
      </c>
      <c r="E48">
        <v>2018</v>
      </c>
      <c r="F48">
        <v>2</v>
      </c>
      <c r="G48">
        <v>22</v>
      </c>
      <c r="I48">
        <v>5</v>
      </c>
      <c r="K48" s="3" t="s">
        <v>623</v>
      </c>
      <c r="L48" s="3" t="s">
        <v>605</v>
      </c>
      <c r="M48" s="3" t="s">
        <v>615</v>
      </c>
      <c r="N48" s="3" t="s">
        <v>629</v>
      </c>
      <c r="W48">
        <v>29.19</v>
      </c>
      <c r="X48" s="3"/>
      <c r="Y48" s="178" t="s">
        <v>1103</v>
      </c>
      <c r="AB48">
        <v>97.336660938565998</v>
      </c>
      <c r="AE48">
        <v>1.1064000000000001</v>
      </c>
    </row>
    <row r="49" spans="1:31" x14ac:dyDescent="0.35">
      <c r="A49" s="13" t="s">
        <v>989</v>
      </c>
      <c r="B49" s="3" t="s">
        <v>998</v>
      </c>
      <c r="C49" t="s">
        <v>1005</v>
      </c>
      <c r="D49" t="s">
        <v>1064</v>
      </c>
      <c r="E49">
        <v>2021</v>
      </c>
      <c r="F49">
        <v>3</v>
      </c>
      <c r="G49">
        <v>23</v>
      </c>
      <c r="I49">
        <v>1.5</v>
      </c>
      <c r="K49" s="3" t="s">
        <v>623</v>
      </c>
      <c r="L49" s="3" t="s">
        <v>605</v>
      </c>
      <c r="M49" s="3" t="s">
        <v>615</v>
      </c>
      <c r="N49" s="3" t="s">
        <v>629</v>
      </c>
      <c r="W49">
        <v>-0.1</v>
      </c>
      <c r="X49" s="3"/>
      <c r="Y49" s="178" t="s">
        <v>1103</v>
      </c>
      <c r="AB49">
        <v>65.212173065233998</v>
      </c>
      <c r="AE49">
        <v>1.0744</v>
      </c>
    </row>
    <row r="50" spans="1:31" x14ac:dyDescent="0.35">
      <c r="A50" s="13" t="s">
        <v>989</v>
      </c>
      <c r="B50" s="3" t="s">
        <v>998</v>
      </c>
      <c r="C50" t="s">
        <v>1006</v>
      </c>
      <c r="D50" t="s">
        <v>1065</v>
      </c>
      <c r="E50">
        <v>2016</v>
      </c>
      <c r="F50">
        <v>8</v>
      </c>
      <c r="G50">
        <v>1</v>
      </c>
      <c r="I50">
        <v>5</v>
      </c>
      <c r="K50" s="3" t="s">
        <v>623</v>
      </c>
      <c r="L50" s="3" t="s">
        <v>605</v>
      </c>
      <c r="M50" s="3" t="s">
        <v>615</v>
      </c>
      <c r="N50" s="3" t="s">
        <v>629</v>
      </c>
      <c r="W50">
        <v>29.01</v>
      </c>
      <c r="X50" s="3"/>
      <c r="Y50" s="178" t="s">
        <v>1103</v>
      </c>
      <c r="AB50">
        <v>101.47115514095501</v>
      </c>
      <c r="AE50">
        <v>1.1103000000000001</v>
      </c>
    </row>
    <row r="51" spans="1:31" x14ac:dyDescent="0.35">
      <c r="A51" s="13" t="s">
        <v>989</v>
      </c>
      <c r="B51" s="3" t="s">
        <v>998</v>
      </c>
      <c r="C51" t="s">
        <v>1006</v>
      </c>
      <c r="D51" t="s">
        <v>1066</v>
      </c>
      <c r="E51">
        <v>2018</v>
      </c>
      <c r="F51">
        <v>2</v>
      </c>
      <c r="G51">
        <v>22</v>
      </c>
      <c r="I51">
        <v>5</v>
      </c>
      <c r="K51" s="3" t="s">
        <v>623</v>
      </c>
      <c r="L51" s="3" t="s">
        <v>605</v>
      </c>
      <c r="M51" s="3" t="s">
        <v>615</v>
      </c>
      <c r="N51" s="3" t="s">
        <v>629</v>
      </c>
      <c r="W51">
        <v>37.56</v>
      </c>
      <c r="X51" s="3"/>
      <c r="Y51" s="178" t="s">
        <v>1103</v>
      </c>
      <c r="AB51">
        <v>79.980016355752198</v>
      </c>
      <c r="AE51">
        <v>1.0889</v>
      </c>
    </row>
    <row r="52" spans="1:31" x14ac:dyDescent="0.35">
      <c r="A52" s="13" t="s">
        <v>989</v>
      </c>
      <c r="B52" s="3" t="s">
        <v>998</v>
      </c>
      <c r="C52" t="s">
        <v>1007</v>
      </c>
      <c r="D52" t="s">
        <v>1067</v>
      </c>
      <c r="E52">
        <v>2021</v>
      </c>
      <c r="F52">
        <v>3</v>
      </c>
      <c r="G52">
        <v>23</v>
      </c>
      <c r="I52">
        <v>1.5</v>
      </c>
      <c r="K52" s="3" t="s">
        <v>623</v>
      </c>
      <c r="L52" s="3" t="s">
        <v>605</v>
      </c>
      <c r="M52" s="3" t="s">
        <v>615</v>
      </c>
      <c r="N52" s="3" t="s">
        <v>629</v>
      </c>
      <c r="X52" s="3"/>
      <c r="Y52" s="178" t="s">
        <v>1103</v>
      </c>
      <c r="AB52">
        <v>30.908058035396898</v>
      </c>
      <c r="AE52">
        <v>1.0398000000000001</v>
      </c>
    </row>
    <row r="53" spans="1:31" x14ac:dyDescent="0.35">
      <c r="A53" s="13" t="s">
        <v>989</v>
      </c>
      <c r="B53" s="3" t="s">
        <v>998</v>
      </c>
      <c r="C53" t="s">
        <v>1008</v>
      </c>
      <c r="D53" t="s">
        <v>1068</v>
      </c>
      <c r="E53">
        <v>2021</v>
      </c>
      <c r="F53">
        <v>3</v>
      </c>
      <c r="G53">
        <v>23</v>
      </c>
      <c r="I53">
        <v>1.5</v>
      </c>
      <c r="K53" s="3" t="s">
        <v>623</v>
      </c>
      <c r="L53" s="3" t="s">
        <v>605</v>
      </c>
      <c r="M53" s="3" t="s">
        <v>615</v>
      </c>
      <c r="N53" s="3" t="s">
        <v>629</v>
      </c>
      <c r="X53" s="3"/>
      <c r="Y53" s="178" t="s">
        <v>1103</v>
      </c>
      <c r="AB53">
        <v>25.355946932301698</v>
      </c>
      <c r="AE53">
        <v>1.0342</v>
      </c>
    </row>
    <row r="54" spans="1:31" x14ac:dyDescent="0.35">
      <c r="A54" s="13" t="s">
        <v>989</v>
      </c>
      <c r="B54" s="3" t="s">
        <v>998</v>
      </c>
      <c r="C54" t="s">
        <v>1009</v>
      </c>
      <c r="D54" t="s">
        <v>1069</v>
      </c>
      <c r="E54">
        <v>2016</v>
      </c>
      <c r="F54">
        <v>8</v>
      </c>
      <c r="G54">
        <v>1</v>
      </c>
      <c r="I54">
        <v>0.5</v>
      </c>
      <c r="K54" s="3" t="s">
        <v>623</v>
      </c>
      <c r="L54" s="3" t="s">
        <v>605</v>
      </c>
      <c r="M54" s="3" t="s">
        <v>615</v>
      </c>
      <c r="N54" s="3" t="s">
        <v>629</v>
      </c>
      <c r="W54">
        <v>30</v>
      </c>
      <c r="X54" s="3"/>
      <c r="Y54" s="178" t="s">
        <v>1103</v>
      </c>
      <c r="AB54">
        <v>52.959996457362401</v>
      </c>
      <c r="AE54">
        <v>1.0613999999999999</v>
      </c>
    </row>
    <row r="55" spans="1:31" x14ac:dyDescent="0.35">
      <c r="A55" s="13" t="s">
        <v>989</v>
      </c>
      <c r="B55" s="3" t="s">
        <v>998</v>
      </c>
      <c r="C55" t="s">
        <v>1009</v>
      </c>
      <c r="D55" t="s">
        <v>1070</v>
      </c>
      <c r="E55">
        <v>2016</v>
      </c>
      <c r="F55">
        <v>8</v>
      </c>
      <c r="G55">
        <v>1</v>
      </c>
      <c r="I55">
        <v>1.5</v>
      </c>
      <c r="K55" s="3" t="s">
        <v>623</v>
      </c>
      <c r="L55" s="3" t="s">
        <v>605</v>
      </c>
      <c r="M55" s="3" t="s">
        <v>615</v>
      </c>
      <c r="N55" s="3" t="s">
        <v>629</v>
      </c>
      <c r="W55">
        <v>26.79</v>
      </c>
      <c r="X55" s="3"/>
      <c r="Y55" s="178" t="s">
        <v>1103</v>
      </c>
      <c r="AB55">
        <v>63.475707746648403</v>
      </c>
      <c r="AE55">
        <v>1.0720000000000001</v>
      </c>
    </row>
    <row r="56" spans="1:31" x14ac:dyDescent="0.35">
      <c r="A56" s="13" t="s">
        <v>989</v>
      </c>
      <c r="B56" s="3" t="s">
        <v>998</v>
      </c>
      <c r="C56" t="s">
        <v>1009</v>
      </c>
      <c r="D56" t="s">
        <v>1071</v>
      </c>
      <c r="E56">
        <v>2016</v>
      </c>
      <c r="F56">
        <v>8</v>
      </c>
      <c r="G56">
        <v>1</v>
      </c>
      <c r="I56">
        <v>3</v>
      </c>
      <c r="K56" s="3" t="s">
        <v>623</v>
      </c>
      <c r="L56" s="3" t="s">
        <v>605</v>
      </c>
      <c r="M56" s="3" t="s">
        <v>615</v>
      </c>
      <c r="N56" s="3" t="s">
        <v>629</v>
      </c>
      <c r="W56">
        <v>28.17</v>
      </c>
      <c r="X56" s="3"/>
      <c r="Y56" s="178" t="s">
        <v>1103</v>
      </c>
      <c r="AB56">
        <v>61.590816100455697</v>
      </c>
      <c r="AE56">
        <v>1.0701000000000001</v>
      </c>
    </row>
    <row r="57" spans="1:31" x14ac:dyDescent="0.35">
      <c r="A57" s="13" t="s">
        <v>989</v>
      </c>
      <c r="B57" s="3" t="s">
        <v>998</v>
      </c>
      <c r="C57" t="s">
        <v>1009</v>
      </c>
      <c r="D57" t="s">
        <v>1072</v>
      </c>
      <c r="E57">
        <v>2016</v>
      </c>
      <c r="F57">
        <v>8</v>
      </c>
      <c r="G57">
        <v>1</v>
      </c>
      <c r="I57">
        <v>5</v>
      </c>
      <c r="K57" s="3" t="s">
        <v>623</v>
      </c>
      <c r="L57" s="3" t="s">
        <v>605</v>
      </c>
      <c r="M57" s="3" t="s">
        <v>615</v>
      </c>
      <c r="N57" s="3" t="s">
        <v>629</v>
      </c>
      <c r="W57">
        <v>28.47</v>
      </c>
      <c r="X57" s="3"/>
      <c r="Y57" s="178" t="s">
        <v>1103</v>
      </c>
      <c r="AB57">
        <v>70.618455037483997</v>
      </c>
      <c r="AE57">
        <v>1.0791999999999999</v>
      </c>
    </row>
    <row r="58" spans="1:31" x14ac:dyDescent="0.35">
      <c r="A58" s="13" t="s">
        <v>989</v>
      </c>
      <c r="B58" s="3" t="s">
        <v>998</v>
      </c>
      <c r="C58" t="s">
        <v>1009</v>
      </c>
      <c r="D58" t="s">
        <v>1073</v>
      </c>
      <c r="E58">
        <v>2018</v>
      </c>
      <c r="F58">
        <v>2</v>
      </c>
      <c r="G58">
        <v>22</v>
      </c>
      <c r="I58">
        <v>0.5</v>
      </c>
      <c r="K58" s="3" t="s">
        <v>623</v>
      </c>
      <c r="L58" s="3" t="s">
        <v>605</v>
      </c>
      <c r="M58" s="3" t="s">
        <v>615</v>
      </c>
      <c r="N58" s="3" t="s">
        <v>629</v>
      </c>
      <c r="W58">
        <v>27.92</v>
      </c>
      <c r="X58" s="3"/>
      <c r="Y58" s="178" t="s">
        <v>1103</v>
      </c>
      <c r="AB58">
        <v>41.497855795000099</v>
      </c>
      <c r="AE58">
        <v>1.0501</v>
      </c>
    </row>
    <row r="59" spans="1:31" x14ac:dyDescent="0.35">
      <c r="A59" s="13" t="s">
        <v>989</v>
      </c>
      <c r="B59" s="3" t="s">
        <v>998</v>
      </c>
      <c r="C59" t="s">
        <v>1009</v>
      </c>
      <c r="D59" t="s">
        <v>1074</v>
      </c>
      <c r="E59">
        <v>2018</v>
      </c>
      <c r="F59">
        <v>2</v>
      </c>
      <c r="G59">
        <v>22</v>
      </c>
      <c r="I59">
        <v>1.5</v>
      </c>
      <c r="K59" s="3" t="s">
        <v>623</v>
      </c>
      <c r="L59" s="3" t="s">
        <v>605</v>
      </c>
      <c r="M59" s="3" t="s">
        <v>615</v>
      </c>
      <c r="N59" s="3" t="s">
        <v>629</v>
      </c>
      <c r="W59">
        <v>28.42</v>
      </c>
      <c r="X59" s="3"/>
      <c r="Y59" s="178" t="s">
        <v>1103</v>
      </c>
      <c r="AB59">
        <v>-5.3154941655026997</v>
      </c>
      <c r="AE59">
        <v>1.0028999999999999</v>
      </c>
    </row>
    <row r="60" spans="1:31" x14ac:dyDescent="0.35">
      <c r="A60" s="13" t="s">
        <v>989</v>
      </c>
      <c r="B60" s="3" t="s">
        <v>998</v>
      </c>
      <c r="C60" t="s">
        <v>1009</v>
      </c>
      <c r="D60" t="s">
        <v>1075</v>
      </c>
      <c r="E60">
        <v>2018</v>
      </c>
      <c r="F60">
        <v>2</v>
      </c>
      <c r="G60">
        <v>22</v>
      </c>
      <c r="I60">
        <v>3</v>
      </c>
      <c r="K60" s="3" t="s">
        <v>623</v>
      </c>
      <c r="L60" s="3" t="s">
        <v>605</v>
      </c>
      <c r="M60" s="3" t="s">
        <v>615</v>
      </c>
      <c r="N60" s="3" t="s">
        <v>629</v>
      </c>
      <c r="W60">
        <v>29.48</v>
      </c>
      <c r="X60" s="3"/>
      <c r="Y60" s="178" t="s">
        <v>1103</v>
      </c>
      <c r="AB60">
        <v>59.052862030188699</v>
      </c>
      <c r="AE60">
        <v>1.0678000000000001</v>
      </c>
    </row>
    <row r="61" spans="1:31" x14ac:dyDescent="0.35">
      <c r="A61" s="13" t="s">
        <v>989</v>
      </c>
      <c r="B61" s="3" t="s">
        <v>998</v>
      </c>
      <c r="C61" t="s">
        <v>1009</v>
      </c>
      <c r="D61" t="s">
        <v>1076</v>
      </c>
      <c r="E61">
        <v>2018</v>
      </c>
      <c r="F61">
        <v>2</v>
      </c>
      <c r="G61">
        <v>22</v>
      </c>
      <c r="I61">
        <v>5</v>
      </c>
      <c r="K61" s="3" t="s">
        <v>623</v>
      </c>
      <c r="L61" s="3" t="s">
        <v>605</v>
      </c>
      <c r="M61" s="3" t="s">
        <v>615</v>
      </c>
      <c r="N61" s="3" t="s">
        <v>629</v>
      </c>
      <c r="W61">
        <v>27.15</v>
      </c>
      <c r="X61" s="3"/>
      <c r="Y61" s="178" t="s">
        <v>1103</v>
      </c>
      <c r="AB61">
        <v>67.979136387064102</v>
      </c>
      <c r="AE61">
        <v>1.0768</v>
      </c>
    </row>
    <row r="62" spans="1:31" x14ac:dyDescent="0.35">
      <c r="A62" s="13" t="s">
        <v>989</v>
      </c>
      <c r="B62" s="3" t="s">
        <v>998</v>
      </c>
      <c r="C62" t="s">
        <v>1010</v>
      </c>
      <c r="D62" t="s">
        <v>1077</v>
      </c>
      <c r="E62">
        <v>2016</v>
      </c>
      <c r="F62">
        <v>8</v>
      </c>
      <c r="G62">
        <v>1</v>
      </c>
      <c r="I62">
        <v>0.5</v>
      </c>
      <c r="K62" s="3" t="s">
        <v>623</v>
      </c>
      <c r="L62" s="3" t="s">
        <v>605</v>
      </c>
      <c r="M62" s="3" t="s">
        <v>615</v>
      </c>
      <c r="N62" s="3" t="s">
        <v>629</v>
      </c>
      <c r="W62">
        <v>28.38</v>
      </c>
      <c r="X62" s="3"/>
      <c r="Y62" s="178" t="s">
        <v>1103</v>
      </c>
      <c r="AB62">
        <v>40.460188698400003</v>
      </c>
      <c r="AE62">
        <v>1.0488</v>
      </c>
    </row>
    <row r="63" spans="1:31" x14ac:dyDescent="0.35">
      <c r="A63" s="13" t="s">
        <v>989</v>
      </c>
      <c r="B63" s="3" t="s">
        <v>998</v>
      </c>
      <c r="C63" t="s">
        <v>1010</v>
      </c>
      <c r="D63" t="s">
        <v>1078</v>
      </c>
      <c r="E63">
        <v>2016</v>
      </c>
      <c r="F63">
        <v>8</v>
      </c>
      <c r="G63">
        <v>1</v>
      </c>
      <c r="I63">
        <v>1.5</v>
      </c>
      <c r="K63" s="3" t="s">
        <v>623</v>
      </c>
      <c r="L63" s="3" t="s">
        <v>605</v>
      </c>
      <c r="M63" s="3" t="s">
        <v>615</v>
      </c>
      <c r="N63" s="3" t="s">
        <v>629</v>
      </c>
      <c r="W63">
        <v>28.04</v>
      </c>
      <c r="X63" s="3"/>
      <c r="Y63" s="178" t="s">
        <v>1103</v>
      </c>
      <c r="AB63">
        <v>50.182261399815303</v>
      </c>
      <c r="AE63">
        <v>1.0586</v>
      </c>
    </row>
    <row r="64" spans="1:31" x14ac:dyDescent="0.35">
      <c r="A64" s="13" t="s">
        <v>989</v>
      </c>
      <c r="B64" s="3" t="s">
        <v>998</v>
      </c>
      <c r="C64" t="s">
        <v>1010</v>
      </c>
      <c r="D64" t="s">
        <v>1079</v>
      </c>
      <c r="E64">
        <v>2016</v>
      </c>
      <c r="F64">
        <v>8</v>
      </c>
      <c r="G64">
        <v>1</v>
      </c>
      <c r="I64">
        <v>3</v>
      </c>
      <c r="K64" s="3" t="s">
        <v>623</v>
      </c>
      <c r="L64" s="3" t="s">
        <v>605</v>
      </c>
      <c r="M64" s="3" t="s">
        <v>615</v>
      </c>
      <c r="N64" s="3" t="s">
        <v>629</v>
      </c>
      <c r="W64">
        <v>28.72</v>
      </c>
      <c r="Y64" s="178" t="s">
        <v>1103</v>
      </c>
      <c r="AB64">
        <v>52.166357869491797</v>
      </c>
      <c r="AE64">
        <v>1.0606</v>
      </c>
    </row>
    <row r="65" spans="1:31" x14ac:dyDescent="0.35">
      <c r="A65" s="13" t="s">
        <v>989</v>
      </c>
      <c r="B65" s="3" t="s">
        <v>998</v>
      </c>
      <c r="C65" t="s">
        <v>1010</v>
      </c>
      <c r="D65" t="s">
        <v>1080</v>
      </c>
      <c r="E65">
        <v>2016</v>
      </c>
      <c r="F65">
        <v>8</v>
      </c>
      <c r="G65">
        <v>1</v>
      </c>
      <c r="I65">
        <v>5</v>
      </c>
      <c r="K65" s="3" t="s">
        <v>623</v>
      </c>
      <c r="L65" s="3" t="s">
        <v>605</v>
      </c>
      <c r="M65" s="3" t="s">
        <v>615</v>
      </c>
      <c r="N65" s="3" t="s">
        <v>629</v>
      </c>
      <c r="W65">
        <v>28.49</v>
      </c>
      <c r="Y65" s="178" t="s">
        <v>1103</v>
      </c>
      <c r="AB65">
        <v>65.559009039808799</v>
      </c>
      <c r="AE65">
        <v>1.0741000000000001</v>
      </c>
    </row>
    <row r="66" spans="1:31" x14ac:dyDescent="0.35">
      <c r="A66" s="13" t="s">
        <v>989</v>
      </c>
      <c r="B66" s="3" t="s">
        <v>998</v>
      </c>
      <c r="C66" t="s">
        <v>1010</v>
      </c>
      <c r="D66" t="s">
        <v>1081</v>
      </c>
      <c r="E66">
        <v>2018</v>
      </c>
      <c r="F66">
        <v>2</v>
      </c>
      <c r="G66">
        <v>22</v>
      </c>
      <c r="I66">
        <v>0.5</v>
      </c>
      <c r="K66" s="3" t="s">
        <v>623</v>
      </c>
      <c r="L66" s="3" t="s">
        <v>605</v>
      </c>
      <c r="M66" s="3" t="s">
        <v>615</v>
      </c>
      <c r="N66" s="3" t="s">
        <v>629</v>
      </c>
      <c r="W66">
        <v>30.91</v>
      </c>
      <c r="Y66" s="178" t="s">
        <v>1103</v>
      </c>
      <c r="AB66">
        <v>7.9747365436229103</v>
      </c>
      <c r="AE66">
        <v>1.0163</v>
      </c>
    </row>
    <row r="67" spans="1:31" x14ac:dyDescent="0.35">
      <c r="A67" s="13" t="s">
        <v>989</v>
      </c>
      <c r="B67" s="3" t="s">
        <v>998</v>
      </c>
      <c r="C67" t="s">
        <v>1010</v>
      </c>
      <c r="D67" t="s">
        <v>1082</v>
      </c>
      <c r="E67">
        <v>2018</v>
      </c>
      <c r="F67">
        <v>2</v>
      </c>
      <c r="G67">
        <v>22</v>
      </c>
      <c r="I67">
        <v>1.5</v>
      </c>
      <c r="K67" s="3" t="s">
        <v>623</v>
      </c>
      <c r="L67" s="3" t="s">
        <v>605</v>
      </c>
      <c r="M67" s="3" t="s">
        <v>615</v>
      </c>
      <c r="N67" s="3" t="s">
        <v>629</v>
      </c>
      <c r="W67">
        <v>29.51</v>
      </c>
      <c r="Y67" s="178" t="s">
        <v>1103</v>
      </c>
      <c r="AB67">
        <v>38.522431009374799</v>
      </c>
      <c r="AE67">
        <v>1.0470999999999999</v>
      </c>
    </row>
    <row r="68" spans="1:31" x14ac:dyDescent="0.35">
      <c r="A68" s="13" t="s">
        <v>989</v>
      </c>
      <c r="B68" s="3" t="s">
        <v>998</v>
      </c>
      <c r="C68" t="s">
        <v>1010</v>
      </c>
      <c r="D68" t="s">
        <v>1083</v>
      </c>
      <c r="E68">
        <v>2018</v>
      </c>
      <c r="F68">
        <v>2</v>
      </c>
      <c r="G68">
        <v>22</v>
      </c>
      <c r="I68">
        <v>3</v>
      </c>
      <c r="K68" s="3" t="s">
        <v>623</v>
      </c>
      <c r="L68" s="3" t="s">
        <v>605</v>
      </c>
      <c r="M68" s="3" t="s">
        <v>615</v>
      </c>
      <c r="N68" s="3" t="s">
        <v>629</v>
      </c>
      <c r="W68">
        <v>29.46</v>
      </c>
      <c r="Y68" s="178" t="s">
        <v>1103</v>
      </c>
      <c r="AB68">
        <v>50.126587673312997</v>
      </c>
      <c r="AE68">
        <v>1.0588</v>
      </c>
    </row>
    <row r="69" spans="1:31" x14ac:dyDescent="0.35">
      <c r="A69" s="13" t="s">
        <v>989</v>
      </c>
      <c r="B69" s="3" t="s">
        <v>998</v>
      </c>
      <c r="C69" t="s">
        <v>1010</v>
      </c>
      <c r="D69" t="s">
        <v>1084</v>
      </c>
      <c r="E69">
        <v>2018</v>
      </c>
      <c r="F69">
        <v>2</v>
      </c>
      <c r="G69">
        <v>22</v>
      </c>
      <c r="I69">
        <v>5</v>
      </c>
      <c r="K69" s="3" t="s">
        <v>623</v>
      </c>
      <c r="L69" s="3" t="s">
        <v>605</v>
      </c>
      <c r="M69" s="3" t="s">
        <v>615</v>
      </c>
      <c r="N69" s="3" t="s">
        <v>629</v>
      </c>
      <c r="W69">
        <v>29.57</v>
      </c>
      <c r="Y69" s="178" t="s">
        <v>1103</v>
      </c>
      <c r="AB69">
        <v>53.399554937500803</v>
      </c>
      <c r="AE69">
        <v>1.0621</v>
      </c>
    </row>
    <row r="70" spans="1:31" x14ac:dyDescent="0.35">
      <c r="A70" s="13" t="s">
        <v>989</v>
      </c>
      <c r="B70" s="3" t="s">
        <v>998</v>
      </c>
      <c r="C70" t="s">
        <v>1010</v>
      </c>
      <c r="D70" t="s">
        <v>1085</v>
      </c>
      <c r="E70">
        <v>2021</v>
      </c>
      <c r="F70">
        <v>3</v>
      </c>
      <c r="G70">
        <v>23</v>
      </c>
      <c r="I70">
        <v>1.5</v>
      </c>
      <c r="K70" s="3" t="s">
        <v>623</v>
      </c>
      <c r="L70" s="3" t="s">
        <v>605</v>
      </c>
      <c r="M70" s="3" t="s">
        <v>615</v>
      </c>
      <c r="N70" s="3" t="s">
        <v>629</v>
      </c>
      <c r="Y70" s="178" t="s">
        <v>1103</v>
      </c>
      <c r="AB70">
        <v>27.239698913708899</v>
      </c>
      <c r="AE70">
        <v>1.0361</v>
      </c>
    </row>
    <row r="71" spans="1:31" x14ac:dyDescent="0.35">
      <c r="A71" s="13" t="s">
        <v>989</v>
      </c>
      <c r="B71" s="3" t="s">
        <v>998</v>
      </c>
      <c r="C71" t="s">
        <v>1011</v>
      </c>
      <c r="D71" t="s">
        <v>1086</v>
      </c>
      <c r="E71">
        <v>2016</v>
      </c>
      <c r="F71">
        <v>8</v>
      </c>
      <c r="G71">
        <v>1</v>
      </c>
      <c r="I71">
        <v>0.5</v>
      </c>
      <c r="K71" s="3" t="s">
        <v>623</v>
      </c>
      <c r="L71" s="3" t="s">
        <v>605</v>
      </c>
      <c r="M71" s="3" t="s">
        <v>615</v>
      </c>
      <c r="N71" s="3" t="s">
        <v>629</v>
      </c>
      <c r="W71">
        <v>30.11</v>
      </c>
      <c r="Y71" s="178" t="s">
        <v>1103</v>
      </c>
      <c r="AB71">
        <v>41.452236933238403</v>
      </c>
      <c r="AE71">
        <v>1.0498000000000001</v>
      </c>
    </row>
    <row r="72" spans="1:31" x14ac:dyDescent="0.35">
      <c r="A72" s="13" t="s">
        <v>989</v>
      </c>
      <c r="B72" s="3" t="s">
        <v>998</v>
      </c>
      <c r="C72" t="s">
        <v>1011</v>
      </c>
      <c r="D72" t="s">
        <v>1087</v>
      </c>
      <c r="E72">
        <v>2016</v>
      </c>
      <c r="F72">
        <v>8</v>
      </c>
      <c r="G72">
        <v>1</v>
      </c>
      <c r="I72">
        <v>1.5</v>
      </c>
      <c r="K72" s="3" t="s">
        <v>623</v>
      </c>
      <c r="L72" s="3" t="s">
        <v>605</v>
      </c>
      <c r="M72" s="3" t="s">
        <v>615</v>
      </c>
      <c r="N72" s="3" t="s">
        <v>629</v>
      </c>
      <c r="W72">
        <v>29.04</v>
      </c>
      <c r="Y72" s="178" t="s">
        <v>1103</v>
      </c>
      <c r="AB72">
        <v>57.126599043683299</v>
      </c>
      <c r="AE72">
        <v>1.0656000000000001</v>
      </c>
    </row>
    <row r="73" spans="1:31" x14ac:dyDescent="0.35">
      <c r="A73" s="13" t="s">
        <v>989</v>
      </c>
      <c r="B73" s="3" t="s">
        <v>998</v>
      </c>
      <c r="C73" t="s">
        <v>1011</v>
      </c>
      <c r="D73" t="s">
        <v>1088</v>
      </c>
      <c r="E73">
        <v>2016</v>
      </c>
      <c r="F73">
        <v>8</v>
      </c>
      <c r="G73">
        <v>1</v>
      </c>
      <c r="I73">
        <v>3</v>
      </c>
      <c r="K73" s="3" t="s">
        <v>623</v>
      </c>
      <c r="L73" s="3" t="s">
        <v>605</v>
      </c>
      <c r="M73" s="3" t="s">
        <v>615</v>
      </c>
      <c r="N73" s="3" t="s">
        <v>629</v>
      </c>
      <c r="W73">
        <v>29.55</v>
      </c>
      <c r="Y73" s="178" t="s">
        <v>1103</v>
      </c>
      <c r="AB73">
        <v>58.515466572457001</v>
      </c>
      <c r="AE73">
        <v>1.0669999999999999</v>
      </c>
    </row>
    <row r="74" spans="1:31" x14ac:dyDescent="0.35">
      <c r="A74" s="13" t="s">
        <v>989</v>
      </c>
      <c r="B74" s="3" t="s">
        <v>998</v>
      </c>
      <c r="C74" t="s">
        <v>1011</v>
      </c>
      <c r="D74" t="s">
        <v>1089</v>
      </c>
      <c r="E74">
        <v>2016</v>
      </c>
      <c r="F74">
        <v>8</v>
      </c>
      <c r="G74">
        <v>1</v>
      </c>
      <c r="I74">
        <v>5</v>
      </c>
      <c r="K74" s="3" t="s">
        <v>623</v>
      </c>
      <c r="L74" s="3" t="s">
        <v>605</v>
      </c>
      <c r="M74" s="3" t="s">
        <v>615</v>
      </c>
      <c r="N74" s="3" t="s">
        <v>629</v>
      </c>
      <c r="W74">
        <v>30</v>
      </c>
      <c r="Y74" s="178" t="s">
        <v>1103</v>
      </c>
      <c r="AB74">
        <v>70.023226096581197</v>
      </c>
      <c r="AE74">
        <v>1.0786</v>
      </c>
    </row>
    <row r="75" spans="1:31" x14ac:dyDescent="0.35">
      <c r="A75" s="13" t="s">
        <v>989</v>
      </c>
      <c r="B75" s="3" t="s">
        <v>998</v>
      </c>
      <c r="C75" t="s">
        <v>1011</v>
      </c>
      <c r="D75" t="s">
        <v>1090</v>
      </c>
      <c r="E75">
        <v>2018</v>
      </c>
      <c r="F75">
        <v>2</v>
      </c>
      <c r="G75">
        <v>22</v>
      </c>
      <c r="I75">
        <v>0.5</v>
      </c>
      <c r="K75" s="3" t="s">
        <v>623</v>
      </c>
      <c r="L75" s="3" t="s">
        <v>605</v>
      </c>
      <c r="M75" s="3" t="s">
        <v>615</v>
      </c>
      <c r="N75" s="3" t="s">
        <v>629</v>
      </c>
      <c r="W75">
        <v>28.7</v>
      </c>
      <c r="Y75" s="178" t="s">
        <v>1103</v>
      </c>
      <c r="AB75">
        <v>51.118395935188197</v>
      </c>
      <c r="AE75">
        <v>1.0598000000000001</v>
      </c>
    </row>
    <row r="76" spans="1:31" x14ac:dyDescent="0.35">
      <c r="A76" s="13" t="s">
        <v>989</v>
      </c>
      <c r="B76" s="3" t="s">
        <v>998</v>
      </c>
      <c r="C76" t="s">
        <v>1011</v>
      </c>
      <c r="D76" t="s">
        <v>1091</v>
      </c>
      <c r="E76">
        <v>2018</v>
      </c>
      <c r="F76">
        <v>2</v>
      </c>
      <c r="G76">
        <v>22</v>
      </c>
      <c r="I76">
        <v>1.5</v>
      </c>
      <c r="K76" s="3" t="s">
        <v>623</v>
      </c>
      <c r="L76" s="3" t="s">
        <v>605</v>
      </c>
      <c r="M76" s="3" t="s">
        <v>615</v>
      </c>
      <c r="N76" s="3" t="s">
        <v>629</v>
      </c>
      <c r="W76">
        <v>29.8</v>
      </c>
      <c r="Y76" s="178" t="s">
        <v>1103</v>
      </c>
      <c r="AB76">
        <v>59.251223682563797</v>
      </c>
      <c r="AE76">
        <v>1.0680000000000001</v>
      </c>
    </row>
    <row r="77" spans="1:31" x14ac:dyDescent="0.35">
      <c r="A77" s="13" t="s">
        <v>989</v>
      </c>
      <c r="B77" s="3" t="s">
        <v>998</v>
      </c>
      <c r="C77" t="s">
        <v>1011</v>
      </c>
      <c r="D77" t="s">
        <v>1092</v>
      </c>
      <c r="E77">
        <v>2018</v>
      </c>
      <c r="F77">
        <v>2</v>
      </c>
      <c r="G77">
        <v>22</v>
      </c>
      <c r="I77">
        <v>3</v>
      </c>
      <c r="K77" s="3" t="s">
        <v>623</v>
      </c>
      <c r="L77" s="3" t="s">
        <v>605</v>
      </c>
      <c r="M77" s="3" t="s">
        <v>615</v>
      </c>
      <c r="N77" s="3" t="s">
        <v>629</v>
      </c>
      <c r="W77">
        <v>29.2</v>
      </c>
      <c r="Y77" s="178" t="s">
        <v>1103</v>
      </c>
      <c r="AB77">
        <v>65.003711601438795</v>
      </c>
      <c r="AE77">
        <v>1.0738000000000001</v>
      </c>
    </row>
    <row r="78" spans="1:31" x14ac:dyDescent="0.35">
      <c r="A78" s="13" t="s">
        <v>989</v>
      </c>
      <c r="B78" s="3" t="s">
        <v>998</v>
      </c>
      <c r="C78" t="s">
        <v>1011</v>
      </c>
      <c r="D78" t="s">
        <v>1093</v>
      </c>
      <c r="E78">
        <v>2018</v>
      </c>
      <c r="F78">
        <v>2</v>
      </c>
      <c r="G78">
        <v>22</v>
      </c>
      <c r="I78">
        <v>5</v>
      </c>
      <c r="K78" s="3" t="s">
        <v>623</v>
      </c>
      <c r="L78" s="3" t="s">
        <v>605</v>
      </c>
      <c r="M78" s="3" t="s">
        <v>615</v>
      </c>
      <c r="N78" s="3" t="s">
        <v>629</v>
      </c>
      <c r="W78">
        <v>29.88</v>
      </c>
      <c r="Y78" s="178" t="s">
        <v>1103</v>
      </c>
      <c r="AB78">
        <v>69.962752910814203</v>
      </c>
      <c r="AE78">
        <v>1.0788</v>
      </c>
    </row>
    <row r="79" spans="1:31" x14ac:dyDescent="0.35">
      <c r="A79" s="13" t="s">
        <v>989</v>
      </c>
      <c r="B79" s="3" t="s">
        <v>998</v>
      </c>
      <c r="C79" t="s">
        <v>1011</v>
      </c>
      <c r="D79" t="s">
        <v>1094</v>
      </c>
      <c r="E79">
        <v>2021</v>
      </c>
      <c r="F79">
        <v>3</v>
      </c>
      <c r="G79">
        <v>23</v>
      </c>
      <c r="I79">
        <v>3</v>
      </c>
      <c r="K79" s="3" t="s">
        <v>623</v>
      </c>
      <c r="L79" s="3" t="s">
        <v>605</v>
      </c>
      <c r="M79" s="3" t="s">
        <v>615</v>
      </c>
      <c r="N79" s="3" t="s">
        <v>629</v>
      </c>
      <c r="Y79" s="178" t="s">
        <v>1103</v>
      </c>
      <c r="AB79">
        <v>51.1336056252429</v>
      </c>
      <c r="AE79">
        <v>1.0602</v>
      </c>
    </row>
    <row r="80" spans="1:31" x14ac:dyDescent="0.35">
      <c r="A80" s="13" t="s">
        <v>989</v>
      </c>
      <c r="B80" s="3" t="s">
        <v>998</v>
      </c>
      <c r="C80" t="s">
        <v>1012</v>
      </c>
      <c r="D80" t="s">
        <v>1095</v>
      </c>
      <c r="E80">
        <v>2016</v>
      </c>
      <c r="F80">
        <v>8</v>
      </c>
      <c r="G80">
        <v>1</v>
      </c>
      <c r="I80">
        <v>0.5</v>
      </c>
      <c r="K80" s="3" t="s">
        <v>623</v>
      </c>
      <c r="L80" s="3" t="s">
        <v>605</v>
      </c>
      <c r="M80" s="3" t="s">
        <v>615</v>
      </c>
      <c r="N80" s="3" t="s">
        <v>629</v>
      </c>
      <c r="W80">
        <v>29.97</v>
      </c>
      <c r="Y80" s="178" t="s">
        <v>1103</v>
      </c>
      <c r="AB80">
        <v>49.884646929363903</v>
      </c>
      <c r="AE80">
        <v>1.0583</v>
      </c>
    </row>
    <row r="81" spans="1:31" x14ac:dyDescent="0.35">
      <c r="A81" s="13" t="s">
        <v>989</v>
      </c>
      <c r="B81" s="3" t="s">
        <v>998</v>
      </c>
      <c r="C81" t="s">
        <v>1012</v>
      </c>
      <c r="D81" t="s">
        <v>1096</v>
      </c>
      <c r="E81">
        <v>2016</v>
      </c>
      <c r="F81">
        <v>8</v>
      </c>
      <c r="G81">
        <v>1</v>
      </c>
      <c r="I81">
        <v>1.5</v>
      </c>
      <c r="K81" s="3" t="s">
        <v>623</v>
      </c>
      <c r="L81" s="3" t="s">
        <v>605</v>
      </c>
      <c r="M81" s="3" t="s">
        <v>615</v>
      </c>
      <c r="N81" s="3" t="s">
        <v>629</v>
      </c>
      <c r="W81">
        <v>29.86</v>
      </c>
      <c r="Y81" s="178" t="s">
        <v>1103</v>
      </c>
      <c r="AB81">
        <v>72.007322566257599</v>
      </c>
      <c r="AE81">
        <v>1.0806</v>
      </c>
    </row>
    <row r="82" spans="1:31" x14ac:dyDescent="0.35">
      <c r="A82" s="13" t="s">
        <v>989</v>
      </c>
      <c r="B82" s="3" t="s">
        <v>998</v>
      </c>
      <c r="C82" t="s">
        <v>1012</v>
      </c>
      <c r="D82" t="s">
        <v>1097</v>
      </c>
      <c r="E82">
        <v>2016</v>
      </c>
      <c r="F82">
        <v>8</v>
      </c>
      <c r="G82">
        <v>1</v>
      </c>
      <c r="I82">
        <v>3</v>
      </c>
      <c r="K82" s="3" t="s">
        <v>623</v>
      </c>
      <c r="L82" s="3" t="s">
        <v>605</v>
      </c>
      <c r="M82" s="3" t="s">
        <v>615</v>
      </c>
      <c r="N82" s="3" t="s">
        <v>629</v>
      </c>
      <c r="W82">
        <v>29.32</v>
      </c>
      <c r="Y82" s="178" t="s">
        <v>1103</v>
      </c>
      <c r="AB82">
        <v>89.864190793347106</v>
      </c>
      <c r="AE82">
        <v>1.0986</v>
      </c>
    </row>
    <row r="83" spans="1:31" x14ac:dyDescent="0.35">
      <c r="A83" s="13" t="s">
        <v>989</v>
      </c>
      <c r="B83" s="3" t="s">
        <v>998</v>
      </c>
      <c r="C83" t="s">
        <v>1012</v>
      </c>
      <c r="D83" t="s">
        <v>1098</v>
      </c>
      <c r="E83">
        <v>2016</v>
      </c>
      <c r="F83">
        <v>8</v>
      </c>
      <c r="G83">
        <v>1</v>
      </c>
      <c r="I83">
        <v>5</v>
      </c>
      <c r="K83" s="3" t="s">
        <v>623</v>
      </c>
      <c r="L83" s="3" t="s">
        <v>605</v>
      </c>
      <c r="M83" s="3" t="s">
        <v>615</v>
      </c>
      <c r="N83" s="3" t="s">
        <v>629</v>
      </c>
      <c r="W83">
        <v>30.42</v>
      </c>
      <c r="Y83" s="178" t="s">
        <v>1103</v>
      </c>
      <c r="AB83">
        <v>98.296600789472294</v>
      </c>
      <c r="AE83">
        <v>1.1071</v>
      </c>
    </row>
    <row r="84" spans="1:31" x14ac:dyDescent="0.35">
      <c r="A84" s="13" t="s">
        <v>989</v>
      </c>
      <c r="B84" s="3" t="s">
        <v>998</v>
      </c>
      <c r="C84" t="s">
        <v>1012</v>
      </c>
      <c r="D84" t="s">
        <v>1099</v>
      </c>
      <c r="E84">
        <v>2018</v>
      </c>
      <c r="F84">
        <v>2</v>
      </c>
      <c r="G84">
        <v>22</v>
      </c>
      <c r="I84">
        <v>0.5</v>
      </c>
      <c r="K84" s="3" t="s">
        <v>623</v>
      </c>
      <c r="L84" s="3" t="s">
        <v>605</v>
      </c>
      <c r="M84" s="3" t="s">
        <v>615</v>
      </c>
      <c r="N84" s="3" t="s">
        <v>629</v>
      </c>
      <c r="W84">
        <v>28.13</v>
      </c>
      <c r="Y84" s="178" t="s">
        <v>1103</v>
      </c>
      <c r="AB84">
        <v>44.969184711562797</v>
      </c>
      <c r="AE84">
        <v>1.0536000000000001</v>
      </c>
    </row>
    <row r="85" spans="1:31" x14ac:dyDescent="0.35">
      <c r="A85" s="13" t="s">
        <v>989</v>
      </c>
      <c r="B85" s="3" t="s">
        <v>998</v>
      </c>
      <c r="C85" t="s">
        <v>1012</v>
      </c>
      <c r="D85" t="s">
        <v>1100</v>
      </c>
      <c r="E85">
        <v>2018</v>
      </c>
      <c r="F85">
        <v>2</v>
      </c>
      <c r="G85">
        <v>22</v>
      </c>
      <c r="I85">
        <v>1.5</v>
      </c>
      <c r="K85" s="3" t="s">
        <v>623</v>
      </c>
      <c r="L85" s="3" t="s">
        <v>605</v>
      </c>
      <c r="M85" s="3" t="s">
        <v>615</v>
      </c>
      <c r="N85" s="3" t="s">
        <v>629</v>
      </c>
      <c r="W85">
        <v>30.28</v>
      </c>
      <c r="Y85" s="178" t="s">
        <v>1103</v>
      </c>
      <c r="AB85">
        <v>77.698857353439607</v>
      </c>
      <c r="AE85">
        <v>1.0866</v>
      </c>
    </row>
    <row r="86" spans="1:31" x14ac:dyDescent="0.35">
      <c r="A86" s="13" t="s">
        <v>989</v>
      </c>
      <c r="B86" s="3" t="s">
        <v>998</v>
      </c>
      <c r="C86" t="s">
        <v>1012</v>
      </c>
      <c r="D86" t="s">
        <v>1101</v>
      </c>
      <c r="E86">
        <v>2018</v>
      </c>
      <c r="F86">
        <v>2</v>
      </c>
      <c r="G86">
        <v>22</v>
      </c>
      <c r="I86">
        <v>3</v>
      </c>
      <c r="K86" s="3" t="s">
        <v>623</v>
      </c>
      <c r="L86" s="3" t="s">
        <v>605</v>
      </c>
      <c r="M86" s="3" t="s">
        <v>615</v>
      </c>
      <c r="N86" s="3" t="s">
        <v>629</v>
      </c>
      <c r="W86">
        <v>30.47</v>
      </c>
      <c r="Y86" s="178" t="s">
        <v>1103</v>
      </c>
      <c r="AB86">
        <v>90.294822279253196</v>
      </c>
      <c r="AE86">
        <v>1.0992999999999999</v>
      </c>
    </row>
    <row r="87" spans="1:31" x14ac:dyDescent="0.35">
      <c r="A87" s="13" t="s">
        <v>989</v>
      </c>
      <c r="B87" s="3" t="s">
        <v>998</v>
      </c>
      <c r="C87" t="s">
        <v>1012</v>
      </c>
      <c r="D87" t="s">
        <v>1102</v>
      </c>
      <c r="E87">
        <v>2018</v>
      </c>
      <c r="F87">
        <v>2</v>
      </c>
      <c r="G87">
        <v>22</v>
      </c>
      <c r="I87">
        <v>5</v>
      </c>
      <c r="K87" s="3" t="s">
        <v>623</v>
      </c>
      <c r="L87" s="3" t="s">
        <v>605</v>
      </c>
      <c r="M87" s="3" t="s">
        <v>615</v>
      </c>
      <c r="N87" s="3" t="s">
        <v>629</v>
      </c>
      <c r="W87">
        <v>29.29</v>
      </c>
      <c r="Y87" s="178" t="s">
        <v>1103</v>
      </c>
      <c r="AB87">
        <v>97.733384243315896</v>
      </c>
      <c r="AE87">
        <v>1.1068</v>
      </c>
    </row>
  </sheetData>
  <phoneticPr fontId="31" type="noConversion"/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500-000001000000}">
          <x14:formula1>
            <xm:f>'controlled vocabulary'!$AH$4:$AH$6</xm:f>
          </x14:formula1>
          <xm:sqref>K4:K1048576</xm:sqref>
        </x14:dataValidation>
        <x14:dataValidation type="list" allowBlank="1" showInputMessage="1" showErrorMessage="1" xr:uid="{00000000-0002-0000-0500-000002000000}">
          <x14:formula1>
            <xm:f>'controlled vocabulary'!$AI$4:$AI$8</xm:f>
          </x14:formula1>
          <xm:sqref>L4:L1048576</xm:sqref>
        </x14:dataValidation>
        <x14:dataValidation type="list" allowBlank="1" showInputMessage="1" showErrorMessage="1" xr:uid="{00000000-0002-0000-0500-000003000000}">
          <x14:formula1>
            <xm:f>'controlled vocabulary'!$AJ$4:$AJ$5</xm:f>
          </x14:formula1>
          <xm:sqref>M4:M1048576</xm:sqref>
        </x14:dataValidation>
        <x14:dataValidation type="list" allowBlank="1" showInputMessage="1" showErrorMessage="1" xr:uid="{00000000-0002-0000-0500-000004000000}">
          <x14:formula1>
            <xm:f>'controlled vocabulary'!$AK$4:$AK$9</xm:f>
          </x14:formula1>
          <xm:sqref>N4:N1048576</xm:sqref>
        </x14:dataValidation>
        <x14:dataValidation type="list" allowBlank="1" showInputMessage="1" showErrorMessage="1" xr:uid="{00000000-0002-0000-0500-000005000000}">
          <x14:formula1>
            <xm:f>'controlled vocabulary'!$AL$4:$AL$7</xm:f>
          </x14:formula1>
          <xm:sqref>T4:T1048576</xm:sqref>
        </x14:dataValidation>
        <x14:dataValidation type="list" allowBlank="1" showInputMessage="1" showErrorMessage="1" xr:uid="{00000000-0002-0000-0500-000000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500-000006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500-000007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Z1004"/>
  <sheetViews>
    <sheetView topLeftCell="BB1" workbookViewId="0">
      <selection activeCell="BC31" sqref="BC31"/>
    </sheetView>
  </sheetViews>
  <sheetFormatPr defaultColWidth="15.1796875" defaultRowHeight="15" customHeight="1" x14ac:dyDescent="0.35"/>
  <cols>
    <col min="1" max="1" width="14.6328125" style="3" customWidth="1"/>
    <col min="2" max="2" width="11.36328125" style="9" bestFit="1" customWidth="1"/>
    <col min="3" max="3" width="23.1796875" style="9" customWidth="1"/>
    <col min="4" max="4" width="21" style="9" customWidth="1"/>
    <col min="5" max="6" width="16.36328125" style="9" customWidth="1"/>
    <col min="7" max="7" width="16.6328125" style="3" customWidth="1"/>
    <col min="8" max="8" width="16.36328125" style="9" customWidth="1"/>
    <col min="9" max="9" width="16.36328125" style="9" bestFit="1" customWidth="1"/>
    <col min="10" max="11" width="16.6328125" style="9" customWidth="1"/>
    <col min="12" max="12" width="18.36328125" style="10" customWidth="1"/>
    <col min="13" max="13" width="16.1796875" style="9" bestFit="1" customWidth="1"/>
    <col min="14" max="14" width="18.36328125" style="3" customWidth="1"/>
    <col min="15" max="15" width="11.81640625" style="3" customWidth="1"/>
    <col min="16" max="17" width="14.36328125" style="3" customWidth="1"/>
    <col min="18" max="18" width="13.81640625" style="3" customWidth="1"/>
    <col min="19" max="19" width="14.36328125" style="108" bestFit="1" customWidth="1"/>
    <col min="20" max="20" width="15" style="108" bestFit="1" customWidth="1"/>
    <col min="21" max="21" width="17.81640625" style="108" customWidth="1"/>
    <col min="22" max="22" width="19.36328125" style="3" bestFit="1" customWidth="1"/>
    <col min="23" max="23" width="13.81640625" style="3" customWidth="1"/>
    <col min="24" max="24" width="10.453125" style="3" customWidth="1"/>
    <col min="25" max="26" width="11.81640625" style="3" customWidth="1"/>
    <col min="27" max="27" width="10.36328125" style="3" customWidth="1"/>
    <col min="28" max="28" width="10" style="3" customWidth="1"/>
    <col min="29" max="30" width="8.1796875" style="3" customWidth="1"/>
    <col min="31" max="31" width="11" style="3" customWidth="1"/>
    <col min="32" max="32" width="16.81640625" style="3" customWidth="1"/>
    <col min="33" max="33" width="10.6328125" style="3" customWidth="1"/>
    <col min="34" max="34" width="8.6328125" style="3" customWidth="1"/>
    <col min="35" max="36" width="14" style="3" customWidth="1"/>
    <col min="37" max="37" width="17.453125" style="3" customWidth="1"/>
    <col min="38" max="39" width="23" style="3" customWidth="1"/>
    <col min="40" max="40" width="20.453125" style="3" bestFit="1" customWidth="1"/>
    <col min="41" max="41" width="12.36328125" style="3" bestFit="1" customWidth="1"/>
    <col min="42" max="42" width="16.453125" style="3" bestFit="1" customWidth="1"/>
    <col min="43" max="45" width="14.453125" style="3" customWidth="1"/>
    <col min="46" max="46" width="13.36328125" style="3" customWidth="1"/>
    <col min="47" max="47" width="13.6328125" style="3" customWidth="1"/>
    <col min="48" max="48" width="14.36328125" style="3" customWidth="1"/>
    <col min="49" max="52" width="15.1796875" style="6"/>
    <col min="53" max="53" width="19.6328125" style="6" bestFit="1" customWidth="1"/>
    <col min="54" max="63" width="15.1796875" style="6"/>
    <col min="64" max="64" width="15" style="3" bestFit="1" customWidth="1"/>
    <col min="65" max="65" width="15.6328125" style="3" customWidth="1"/>
    <col min="66" max="66" width="16.36328125" style="3" customWidth="1"/>
    <col min="67" max="67" width="15.6328125" style="3" customWidth="1"/>
    <col min="68" max="71" width="11.6328125" style="3" customWidth="1"/>
    <col min="72" max="72" width="13.1796875" style="3" customWidth="1"/>
    <col min="73" max="73" width="17.81640625" style="3" customWidth="1"/>
    <col min="74" max="74" width="11.6328125" style="3" customWidth="1"/>
    <col min="75" max="75" width="17.453125" style="3" customWidth="1"/>
    <col min="76" max="76" width="14.81640625" style="3" customWidth="1"/>
    <col min="77" max="77" width="13.1796875" style="3" customWidth="1"/>
    <col min="78" max="78" width="15.1796875" style="6"/>
    <col min="79" max="16384" width="15.1796875" style="3"/>
  </cols>
  <sheetData>
    <row r="1" spans="1:78" s="21" customFormat="1" ht="25" customHeight="1" x14ac:dyDescent="0.35">
      <c r="A1" s="18" t="s">
        <v>637</v>
      </c>
      <c r="B1" s="18" t="s">
        <v>14</v>
      </c>
      <c r="C1" s="18" t="s">
        <v>427</v>
      </c>
      <c r="D1" s="18" t="s">
        <v>458</v>
      </c>
      <c r="E1" s="18" t="s">
        <v>550</v>
      </c>
      <c r="F1" s="18" t="s">
        <v>551</v>
      </c>
      <c r="G1" s="18" t="s">
        <v>963</v>
      </c>
      <c r="H1" s="18" t="s">
        <v>553</v>
      </c>
      <c r="I1" s="60" t="s">
        <v>554</v>
      </c>
      <c r="J1" s="60" t="s">
        <v>555</v>
      </c>
      <c r="K1" s="60" t="s">
        <v>556</v>
      </c>
      <c r="L1" s="60" t="s">
        <v>557</v>
      </c>
      <c r="M1" s="60" t="s">
        <v>552</v>
      </c>
      <c r="N1" s="19" t="s">
        <v>558</v>
      </c>
      <c r="O1" s="19" t="s">
        <v>559</v>
      </c>
      <c r="P1" s="19" t="s">
        <v>560</v>
      </c>
      <c r="Q1" s="19" t="s">
        <v>971</v>
      </c>
      <c r="R1" s="19" t="s">
        <v>561</v>
      </c>
      <c r="S1" s="105" t="s">
        <v>702</v>
      </c>
      <c r="T1" s="105" t="s">
        <v>703</v>
      </c>
      <c r="U1" s="105" t="s">
        <v>704</v>
      </c>
      <c r="V1" s="34" t="s">
        <v>562</v>
      </c>
      <c r="W1" s="61" t="s">
        <v>563</v>
      </c>
      <c r="X1" s="61" t="s">
        <v>564</v>
      </c>
      <c r="Y1" s="61" t="s">
        <v>565</v>
      </c>
      <c r="Z1" s="61" t="s">
        <v>566</v>
      </c>
      <c r="AA1" s="61" t="s">
        <v>567</v>
      </c>
      <c r="AB1" s="61" t="s">
        <v>568</v>
      </c>
      <c r="AC1" s="62" t="s">
        <v>569</v>
      </c>
      <c r="AD1" s="62" t="s">
        <v>570</v>
      </c>
      <c r="AE1" s="62" t="s">
        <v>571</v>
      </c>
      <c r="AF1" s="62" t="s">
        <v>572</v>
      </c>
      <c r="AG1" s="62" t="s">
        <v>573</v>
      </c>
      <c r="AH1" s="62" t="s">
        <v>574</v>
      </c>
      <c r="AI1" s="62" t="s">
        <v>575</v>
      </c>
      <c r="AJ1" s="35" t="s">
        <v>576</v>
      </c>
      <c r="AK1" s="62" t="s">
        <v>784</v>
      </c>
      <c r="AL1" s="62" t="s">
        <v>785</v>
      </c>
      <c r="AM1" s="35" t="s">
        <v>786</v>
      </c>
      <c r="AN1" s="36" t="s">
        <v>686</v>
      </c>
      <c r="AO1" s="36" t="s">
        <v>687</v>
      </c>
      <c r="AP1" s="36" t="s">
        <v>688</v>
      </c>
      <c r="AQ1" s="63" t="s">
        <v>676</v>
      </c>
      <c r="AR1" s="63" t="s">
        <v>677</v>
      </c>
      <c r="AS1" s="63" t="s">
        <v>811</v>
      </c>
      <c r="AT1" s="63" t="s">
        <v>678</v>
      </c>
      <c r="AU1" s="63" t="s">
        <v>679</v>
      </c>
      <c r="AV1" s="63" t="s">
        <v>680</v>
      </c>
      <c r="AW1" s="63" t="s">
        <v>739</v>
      </c>
      <c r="AX1" s="63" t="s">
        <v>740</v>
      </c>
      <c r="AY1" s="63" t="s">
        <v>741</v>
      </c>
      <c r="AZ1" s="63" t="s">
        <v>742</v>
      </c>
      <c r="BA1" s="63" t="s">
        <v>809</v>
      </c>
      <c r="BB1" s="63" t="s">
        <v>743</v>
      </c>
      <c r="BC1" s="63" t="s">
        <v>744</v>
      </c>
      <c r="BD1" s="63" t="s">
        <v>745</v>
      </c>
      <c r="BE1" s="63" t="s">
        <v>746</v>
      </c>
      <c r="BF1" s="63" t="s">
        <v>747</v>
      </c>
      <c r="BG1" s="63" t="s">
        <v>748</v>
      </c>
      <c r="BH1" s="63" t="s">
        <v>749</v>
      </c>
      <c r="BI1" s="63" t="s">
        <v>750</v>
      </c>
      <c r="BJ1" s="63" t="s">
        <v>751</v>
      </c>
      <c r="BK1" s="63" t="s">
        <v>986</v>
      </c>
      <c r="BL1" s="37" t="s">
        <v>577</v>
      </c>
      <c r="BM1" s="37" t="s">
        <v>578</v>
      </c>
      <c r="BN1" s="37" t="s">
        <v>579</v>
      </c>
      <c r="BO1" s="37" t="s">
        <v>580</v>
      </c>
      <c r="BP1" s="37" t="s">
        <v>581</v>
      </c>
      <c r="BQ1" s="37" t="s">
        <v>752</v>
      </c>
      <c r="BR1" s="37" t="s">
        <v>582</v>
      </c>
      <c r="BS1" s="37" t="s">
        <v>583</v>
      </c>
      <c r="BT1" s="37" t="s">
        <v>584</v>
      </c>
      <c r="BU1" s="37" t="s">
        <v>585</v>
      </c>
      <c r="BV1" s="37" t="s">
        <v>586</v>
      </c>
      <c r="BW1" s="37" t="s">
        <v>587</v>
      </c>
      <c r="BX1" s="37" t="s">
        <v>588</v>
      </c>
      <c r="BY1" s="37" t="s">
        <v>589</v>
      </c>
      <c r="BZ1" s="38" t="s">
        <v>590</v>
      </c>
    </row>
    <row r="2" spans="1:78" s="21" customFormat="1" ht="80" customHeight="1" x14ac:dyDescent="0.35">
      <c r="A2" s="22" t="s">
        <v>638</v>
      </c>
      <c r="B2" s="26" t="s">
        <v>16</v>
      </c>
      <c r="C2" s="26" t="s">
        <v>298</v>
      </c>
      <c r="D2" s="26" t="s">
        <v>56</v>
      </c>
      <c r="E2" s="26" t="s">
        <v>136</v>
      </c>
      <c r="F2" s="26" t="s">
        <v>394</v>
      </c>
      <c r="G2" s="22" t="s">
        <v>970</v>
      </c>
      <c r="H2" s="26" t="s">
        <v>137</v>
      </c>
      <c r="I2" s="26" t="s">
        <v>139</v>
      </c>
      <c r="J2" s="26" t="s">
        <v>140</v>
      </c>
      <c r="K2" s="26" t="s">
        <v>141</v>
      </c>
      <c r="L2" s="64" t="s">
        <v>258</v>
      </c>
      <c r="M2" s="26" t="s">
        <v>138</v>
      </c>
      <c r="N2" s="22" t="s">
        <v>142</v>
      </c>
      <c r="O2" s="22" t="s">
        <v>143</v>
      </c>
      <c r="P2" s="22" t="s">
        <v>144</v>
      </c>
      <c r="Q2" s="22" t="s">
        <v>983</v>
      </c>
      <c r="R2" s="22" t="s">
        <v>145</v>
      </c>
      <c r="S2" s="106" t="s">
        <v>700</v>
      </c>
      <c r="T2" s="106" t="s">
        <v>701</v>
      </c>
      <c r="U2" s="106" t="s">
        <v>699</v>
      </c>
      <c r="V2" s="42"/>
      <c r="W2" s="42" t="s">
        <v>254</v>
      </c>
      <c r="X2" s="42" t="s">
        <v>146</v>
      </c>
      <c r="Y2" s="42" t="s">
        <v>147</v>
      </c>
      <c r="Z2" s="42" t="s">
        <v>246</v>
      </c>
      <c r="AA2" s="42" t="s">
        <v>148</v>
      </c>
      <c r="AB2" s="42" t="s">
        <v>149</v>
      </c>
      <c r="AC2" s="43" t="s">
        <v>150</v>
      </c>
      <c r="AD2" s="43" t="s">
        <v>151</v>
      </c>
      <c r="AE2" s="43" t="s">
        <v>86</v>
      </c>
      <c r="AF2" s="43" t="s">
        <v>87</v>
      </c>
      <c r="AG2" s="43" t="s">
        <v>88</v>
      </c>
      <c r="AH2" s="43" t="s">
        <v>152</v>
      </c>
      <c r="AI2" s="43" t="s">
        <v>395</v>
      </c>
      <c r="AJ2" s="43" t="s">
        <v>397</v>
      </c>
      <c r="AK2" s="43" t="s">
        <v>153</v>
      </c>
      <c r="AL2" s="43" t="s">
        <v>396</v>
      </c>
      <c r="AM2" s="43" t="s">
        <v>398</v>
      </c>
      <c r="AN2" s="45" t="s">
        <v>91</v>
      </c>
      <c r="AO2" s="45" t="s">
        <v>92</v>
      </c>
      <c r="AP2" s="45" t="s">
        <v>93</v>
      </c>
      <c r="AQ2" s="98" t="s">
        <v>95</v>
      </c>
      <c r="AR2" s="98" t="s">
        <v>96</v>
      </c>
      <c r="AS2" s="46" t="s">
        <v>805</v>
      </c>
      <c r="AT2" s="98" t="s">
        <v>97</v>
      </c>
      <c r="AU2" s="98" t="s">
        <v>98</v>
      </c>
      <c r="AV2" s="98" t="s">
        <v>681</v>
      </c>
      <c r="AW2" s="46" t="s">
        <v>100</v>
      </c>
      <c r="AX2" s="46" t="s">
        <v>101</v>
      </c>
      <c r="AY2" s="47" t="s">
        <v>102</v>
      </c>
      <c r="AZ2" s="47" t="s">
        <v>103</v>
      </c>
      <c r="BA2" s="47" t="s">
        <v>810</v>
      </c>
      <c r="BB2" s="46" t="s">
        <v>104</v>
      </c>
      <c r="BC2" s="46" t="s">
        <v>105</v>
      </c>
      <c r="BD2" s="46" t="s">
        <v>106</v>
      </c>
      <c r="BE2" s="47" t="s">
        <v>107</v>
      </c>
      <c r="BF2" s="47" t="s">
        <v>108</v>
      </c>
      <c r="BG2" s="46" t="s">
        <v>109</v>
      </c>
      <c r="BH2" s="46" t="s">
        <v>110</v>
      </c>
      <c r="BI2" s="46" t="s">
        <v>111</v>
      </c>
      <c r="BJ2" s="47" t="s">
        <v>112</v>
      </c>
      <c r="BK2" s="46" t="s">
        <v>113</v>
      </c>
      <c r="BL2" s="48" t="s">
        <v>114</v>
      </c>
      <c r="BM2" s="48" t="s">
        <v>115</v>
      </c>
      <c r="BN2" s="48" t="s">
        <v>116</v>
      </c>
      <c r="BO2" s="48" t="s">
        <v>154</v>
      </c>
      <c r="BP2" s="48" t="s">
        <v>352</v>
      </c>
      <c r="BQ2" s="48" t="s">
        <v>118</v>
      </c>
      <c r="BR2" s="48" t="s">
        <v>119</v>
      </c>
      <c r="BS2" s="48" t="s">
        <v>120</v>
      </c>
      <c r="BT2" s="48" t="s">
        <v>121</v>
      </c>
      <c r="BU2" s="48" t="s">
        <v>351</v>
      </c>
      <c r="BV2" s="48" t="s">
        <v>122</v>
      </c>
      <c r="BW2" s="48" t="s">
        <v>123</v>
      </c>
      <c r="BX2" s="48" t="s">
        <v>124</v>
      </c>
      <c r="BY2" s="48" t="s">
        <v>125</v>
      </c>
      <c r="BZ2" s="65" t="s">
        <v>257</v>
      </c>
    </row>
    <row r="3" spans="1:78" s="33" customFormat="1" ht="46" customHeight="1" x14ac:dyDescent="0.35">
      <c r="A3" s="28" t="s">
        <v>331</v>
      </c>
      <c r="B3" s="27"/>
      <c r="C3" s="27"/>
      <c r="D3" s="27"/>
      <c r="E3" s="27"/>
      <c r="F3" s="27" t="s">
        <v>591</v>
      </c>
      <c r="G3" s="158" t="s">
        <v>976</v>
      </c>
      <c r="H3" s="27" t="s">
        <v>155</v>
      </c>
      <c r="I3" s="27" t="s">
        <v>157</v>
      </c>
      <c r="J3" s="27"/>
      <c r="K3" s="27"/>
      <c r="L3" s="66"/>
      <c r="M3" s="27" t="s">
        <v>156</v>
      </c>
      <c r="N3" s="28" t="s">
        <v>158</v>
      </c>
      <c r="O3" s="28" t="s">
        <v>342</v>
      </c>
      <c r="P3" s="28"/>
      <c r="Q3" s="28" t="s">
        <v>342</v>
      </c>
      <c r="R3" s="28" t="s">
        <v>37</v>
      </c>
      <c r="S3" s="107" t="s">
        <v>697</v>
      </c>
      <c r="T3" s="107" t="s">
        <v>34</v>
      </c>
      <c r="U3" s="107" t="s">
        <v>698</v>
      </c>
      <c r="V3" s="54"/>
      <c r="W3" s="54" t="s">
        <v>37</v>
      </c>
      <c r="X3" s="54" t="s">
        <v>37</v>
      </c>
      <c r="Y3" s="54" t="s">
        <v>37</v>
      </c>
      <c r="Z3" s="54" t="s">
        <v>37</v>
      </c>
      <c r="AA3" s="54" t="s">
        <v>37</v>
      </c>
      <c r="AB3" s="54"/>
      <c r="AC3" s="55" t="s">
        <v>131</v>
      </c>
      <c r="AD3" s="55" t="s">
        <v>131</v>
      </c>
      <c r="AE3" s="55"/>
      <c r="AF3" s="55"/>
      <c r="AG3" s="55" t="s">
        <v>132</v>
      </c>
      <c r="AH3" s="55" t="s">
        <v>131</v>
      </c>
      <c r="AI3" s="55" t="s">
        <v>131</v>
      </c>
      <c r="AJ3" s="55" t="s">
        <v>131</v>
      </c>
      <c r="AK3" s="55"/>
      <c r="AL3" s="55"/>
      <c r="AM3" s="55"/>
      <c r="AN3" s="56" t="s">
        <v>133</v>
      </c>
      <c r="AO3" s="56" t="s">
        <v>134</v>
      </c>
      <c r="AP3" s="56" t="s">
        <v>134</v>
      </c>
      <c r="AQ3" s="97" t="s">
        <v>682</v>
      </c>
      <c r="AR3" s="97" t="s">
        <v>682</v>
      </c>
      <c r="AS3" s="57" t="s">
        <v>135</v>
      </c>
      <c r="AT3" s="97" t="s">
        <v>682</v>
      </c>
      <c r="AU3" s="97" t="s">
        <v>682</v>
      </c>
      <c r="AV3" s="96"/>
      <c r="AW3" s="97" t="s">
        <v>682</v>
      </c>
      <c r="AX3" s="97" t="s">
        <v>682</v>
      </c>
      <c r="AY3" s="97" t="s">
        <v>682</v>
      </c>
      <c r="AZ3" s="97" t="s">
        <v>682</v>
      </c>
      <c r="BA3" s="97" t="s">
        <v>682</v>
      </c>
      <c r="BB3" s="57"/>
      <c r="BC3" s="97" t="s">
        <v>682</v>
      </c>
      <c r="BD3" s="97" t="s">
        <v>682</v>
      </c>
      <c r="BE3" s="97" t="s">
        <v>682</v>
      </c>
      <c r="BF3" s="97" t="s">
        <v>682</v>
      </c>
      <c r="BG3" s="57"/>
      <c r="BH3" s="97" t="s">
        <v>682</v>
      </c>
      <c r="BI3" s="97" t="s">
        <v>682</v>
      </c>
      <c r="BJ3" s="97" t="s">
        <v>682</v>
      </c>
      <c r="BK3" s="97"/>
      <c r="BL3" s="58" t="s">
        <v>808</v>
      </c>
      <c r="BM3" s="58" t="s">
        <v>808</v>
      </c>
      <c r="BN3" s="58" t="s">
        <v>808</v>
      </c>
      <c r="BO3" s="58" t="s">
        <v>808</v>
      </c>
      <c r="BP3" s="58" t="s">
        <v>808</v>
      </c>
      <c r="BQ3" s="58" t="s">
        <v>808</v>
      </c>
      <c r="BR3" s="58" t="s">
        <v>808</v>
      </c>
      <c r="BS3" s="58" t="s">
        <v>808</v>
      </c>
      <c r="BT3" s="58" t="s">
        <v>808</v>
      </c>
      <c r="BU3" s="58" t="s">
        <v>808</v>
      </c>
      <c r="BV3" s="58" t="s">
        <v>808</v>
      </c>
      <c r="BW3" s="58" t="s">
        <v>808</v>
      </c>
      <c r="BX3" s="58" t="s">
        <v>808</v>
      </c>
      <c r="BY3" s="58" t="s">
        <v>808</v>
      </c>
      <c r="BZ3" s="58" t="s">
        <v>808</v>
      </c>
    </row>
    <row r="4" spans="1:78" ht="15" customHeight="1" x14ac:dyDescent="0.35">
      <c r="A4" s="13"/>
      <c r="B4" s="7"/>
      <c r="C4" s="8"/>
      <c r="D4" s="8"/>
      <c r="E4" s="8"/>
      <c r="F4" s="8"/>
      <c r="G4" s="5"/>
      <c r="H4" s="8"/>
      <c r="I4" s="8"/>
      <c r="J4" s="8"/>
      <c r="K4" s="8"/>
      <c r="L4" s="4"/>
      <c r="M4" s="8"/>
      <c r="N4" s="5"/>
      <c r="O4" s="5"/>
      <c r="P4" s="5"/>
      <c r="Q4" s="5"/>
      <c r="S4" s="109"/>
      <c r="T4" s="109"/>
      <c r="U4" s="110"/>
      <c r="V4" s="12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</row>
    <row r="5" spans="1:78" ht="15" customHeight="1" x14ac:dyDescent="0.35">
      <c r="A5" s="13"/>
      <c r="B5" s="7"/>
      <c r="C5" s="8"/>
      <c r="D5" s="8"/>
      <c r="E5" s="8"/>
      <c r="F5" s="8"/>
      <c r="G5" s="5"/>
      <c r="H5" s="8"/>
      <c r="I5" s="8"/>
      <c r="J5" s="8"/>
      <c r="K5" s="8"/>
      <c r="L5" s="4"/>
      <c r="M5" s="8"/>
      <c r="N5" s="5"/>
      <c r="O5" s="5"/>
      <c r="P5" s="5"/>
      <c r="Q5" s="5"/>
      <c r="S5" s="109"/>
      <c r="T5" s="109"/>
      <c r="U5" s="110"/>
      <c r="V5" s="12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</row>
    <row r="6" spans="1:78" ht="15" customHeight="1" x14ac:dyDescent="0.35">
      <c r="A6" s="13"/>
      <c r="B6" s="7"/>
      <c r="C6" s="8"/>
      <c r="D6" s="8"/>
      <c r="E6" s="8"/>
      <c r="F6" s="8"/>
      <c r="G6" s="5"/>
      <c r="H6" s="8"/>
      <c r="I6" s="8"/>
      <c r="J6" s="8"/>
      <c r="K6" s="8"/>
      <c r="L6" s="4"/>
      <c r="M6" s="8"/>
      <c r="N6" s="5"/>
      <c r="O6" s="5"/>
      <c r="P6" s="5"/>
      <c r="Q6" s="5"/>
      <c r="S6" s="109"/>
      <c r="T6" s="109"/>
      <c r="U6" s="110"/>
      <c r="V6" s="12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</row>
    <row r="7" spans="1:78" ht="15" customHeight="1" x14ac:dyDescent="0.35">
      <c r="A7" s="13"/>
      <c r="B7" s="7"/>
      <c r="C7" s="8"/>
      <c r="D7" s="8"/>
      <c r="E7" s="8"/>
      <c r="F7" s="8"/>
      <c r="G7" s="5"/>
      <c r="H7" s="8"/>
      <c r="I7" s="8"/>
      <c r="J7" s="8"/>
      <c r="K7" s="8"/>
      <c r="L7" s="4"/>
      <c r="M7" s="8"/>
      <c r="N7" s="5"/>
      <c r="O7" s="5"/>
      <c r="P7" s="5"/>
      <c r="Q7" s="5"/>
      <c r="S7" s="109"/>
      <c r="T7" s="109"/>
      <c r="U7" s="110"/>
      <c r="V7" s="1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</row>
    <row r="8" spans="1:78" ht="14.5" x14ac:dyDescent="0.35">
      <c r="A8" s="13"/>
      <c r="B8" s="7"/>
      <c r="C8" s="8"/>
      <c r="D8" s="8"/>
      <c r="E8" s="8"/>
      <c r="F8" s="8"/>
      <c r="G8" s="5"/>
      <c r="H8" s="8"/>
      <c r="I8" s="8"/>
      <c r="J8" s="8"/>
      <c r="K8" s="8"/>
      <c r="L8" s="4"/>
      <c r="M8" s="8"/>
      <c r="N8" s="5"/>
      <c r="O8" s="5"/>
      <c r="P8" s="5"/>
      <c r="Q8" s="5"/>
      <c r="S8" s="109"/>
      <c r="T8" s="109"/>
      <c r="U8" s="110"/>
      <c r="V8" s="12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</row>
    <row r="9" spans="1:78" ht="14.5" x14ac:dyDescent="0.35">
      <c r="A9" s="13"/>
      <c r="B9" s="7"/>
      <c r="C9" s="8"/>
      <c r="D9" s="8"/>
      <c r="E9" s="8"/>
      <c r="F9" s="8"/>
      <c r="G9" s="5"/>
      <c r="H9" s="8"/>
      <c r="I9" s="8"/>
      <c r="J9" s="8"/>
      <c r="K9" s="8"/>
      <c r="L9" s="4"/>
      <c r="M9" s="8"/>
      <c r="N9" s="5"/>
      <c r="O9" s="5"/>
      <c r="P9" s="5"/>
      <c r="Q9" s="5"/>
      <c r="S9" s="109"/>
      <c r="T9" s="109"/>
      <c r="U9" s="110"/>
      <c r="V9" s="12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</row>
    <row r="10" spans="1:78" ht="14.5" x14ac:dyDescent="0.35">
      <c r="A10" s="13"/>
      <c r="B10" s="7"/>
      <c r="C10" s="8"/>
      <c r="D10" s="8"/>
      <c r="E10" s="8"/>
      <c r="F10" s="8"/>
      <c r="G10" s="5"/>
      <c r="H10" s="8"/>
      <c r="I10" s="8"/>
      <c r="J10" s="8"/>
      <c r="K10" s="8"/>
      <c r="L10" s="4"/>
      <c r="M10" s="8"/>
      <c r="N10" s="5"/>
      <c r="O10" s="5"/>
      <c r="P10" s="5"/>
      <c r="Q10" s="5"/>
      <c r="S10" s="109"/>
      <c r="T10" s="109"/>
      <c r="U10" s="110"/>
      <c r="V10" s="12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</row>
    <row r="11" spans="1:78" ht="14.5" x14ac:dyDescent="0.35">
      <c r="A11" s="13"/>
      <c r="B11" s="7"/>
      <c r="C11" s="8"/>
      <c r="D11" s="8"/>
      <c r="E11" s="8"/>
      <c r="F11" s="8"/>
      <c r="G11" s="5"/>
      <c r="H11" s="8"/>
      <c r="I11" s="8"/>
      <c r="J11" s="8"/>
      <c r="K11" s="8"/>
      <c r="L11" s="4"/>
      <c r="M11" s="8"/>
      <c r="N11" s="5"/>
      <c r="O11" s="5"/>
      <c r="P11" s="5"/>
      <c r="Q11" s="5"/>
      <c r="S11" s="109"/>
      <c r="T11" s="109"/>
      <c r="U11" s="110"/>
      <c r="V11" s="12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</row>
    <row r="12" spans="1:78" ht="14.5" x14ac:dyDescent="0.35">
      <c r="B12" s="7"/>
      <c r="C12" s="8"/>
      <c r="D12" s="8"/>
      <c r="E12" s="8"/>
      <c r="F12" s="8"/>
      <c r="G12" s="5"/>
      <c r="H12" s="8"/>
      <c r="I12" s="8"/>
      <c r="J12" s="8"/>
      <c r="K12" s="8"/>
      <c r="L12" s="4"/>
      <c r="M12" s="8"/>
      <c r="N12" s="5"/>
      <c r="O12" s="5"/>
      <c r="P12" s="5"/>
      <c r="Q12" s="5"/>
      <c r="R12" s="5"/>
      <c r="S12" s="109"/>
      <c r="T12" s="109"/>
      <c r="U12" s="110"/>
      <c r="V12" s="12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</row>
    <row r="13" spans="1:78" ht="14.5" x14ac:dyDescent="0.35">
      <c r="B13" s="7"/>
      <c r="C13" s="8"/>
      <c r="D13" s="8"/>
      <c r="E13" s="8"/>
      <c r="F13" s="8"/>
      <c r="G13" s="5"/>
      <c r="H13" s="8"/>
      <c r="I13" s="8"/>
      <c r="J13" s="8"/>
      <c r="K13" s="8"/>
      <c r="L13" s="4"/>
      <c r="M13" s="8"/>
      <c r="N13" s="5"/>
      <c r="O13" s="5"/>
      <c r="P13" s="5"/>
      <c r="Q13" s="5"/>
      <c r="R13" s="5"/>
      <c r="S13" s="109"/>
      <c r="T13" s="109"/>
      <c r="U13" s="110"/>
      <c r="V13" s="12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</row>
    <row r="14" spans="1:78" ht="14.5" x14ac:dyDescent="0.35">
      <c r="B14" s="7"/>
      <c r="C14" s="8"/>
      <c r="D14" s="8"/>
      <c r="E14" s="8"/>
      <c r="F14" s="8"/>
      <c r="G14" s="5"/>
      <c r="H14" s="8"/>
      <c r="I14" s="8"/>
      <c r="J14" s="8"/>
      <c r="K14" s="8"/>
      <c r="L14" s="4"/>
      <c r="M14" s="8"/>
      <c r="N14" s="5"/>
      <c r="O14" s="5"/>
      <c r="P14" s="5"/>
      <c r="Q14" s="5"/>
      <c r="R14" s="5"/>
      <c r="S14" s="109"/>
      <c r="T14" s="109"/>
      <c r="U14" s="110"/>
      <c r="V14" s="12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</row>
    <row r="15" spans="1:78" ht="14.5" x14ac:dyDescent="0.35">
      <c r="B15" s="7"/>
      <c r="C15" s="8"/>
      <c r="D15" s="8"/>
      <c r="E15" s="8"/>
      <c r="F15" s="8"/>
      <c r="G15" s="5"/>
      <c r="H15" s="8"/>
      <c r="I15" s="8"/>
      <c r="J15" s="8"/>
      <c r="K15" s="8"/>
      <c r="L15" s="4"/>
      <c r="M15" s="8"/>
      <c r="N15" s="5"/>
      <c r="O15" s="5"/>
      <c r="P15" s="5"/>
      <c r="Q15" s="5"/>
      <c r="R15" s="5"/>
      <c r="S15" s="109"/>
      <c r="T15" s="109"/>
      <c r="U15" s="110"/>
      <c r="V15" s="12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</row>
    <row r="16" spans="1:78" ht="14.5" x14ac:dyDescent="0.35">
      <c r="B16" s="7"/>
      <c r="C16" s="8"/>
      <c r="D16" s="8"/>
      <c r="E16" s="8"/>
      <c r="F16" s="8"/>
      <c r="G16" s="5"/>
      <c r="H16" s="8"/>
      <c r="I16" s="8"/>
      <c r="J16" s="8"/>
      <c r="K16" s="8"/>
      <c r="L16" s="4"/>
      <c r="M16" s="8"/>
      <c r="N16" s="5"/>
      <c r="O16" s="5"/>
      <c r="P16" s="5"/>
      <c r="Q16" s="5"/>
      <c r="R16" s="5"/>
      <c r="S16" s="109"/>
      <c r="T16" s="109"/>
      <c r="U16" s="110"/>
      <c r="V16" s="12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</row>
    <row r="17" spans="2:77" ht="14.5" x14ac:dyDescent="0.35">
      <c r="B17" s="7"/>
      <c r="C17" s="8"/>
      <c r="D17" s="8"/>
      <c r="E17" s="8"/>
      <c r="F17" s="8"/>
      <c r="G17" s="5"/>
      <c r="H17" s="8"/>
      <c r="I17" s="8"/>
      <c r="J17" s="8"/>
      <c r="K17" s="8"/>
      <c r="L17" s="4"/>
      <c r="M17" s="8"/>
      <c r="N17" s="5"/>
      <c r="O17" s="5"/>
      <c r="P17" s="5"/>
      <c r="Q17" s="5"/>
      <c r="R17" s="5"/>
      <c r="S17" s="109"/>
      <c r="T17" s="109"/>
      <c r="U17" s="110"/>
      <c r="V17" s="12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16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</row>
    <row r="18" spans="2:77" ht="14.5" x14ac:dyDescent="0.35">
      <c r="B18" s="7"/>
      <c r="C18" s="8"/>
      <c r="D18" s="8"/>
      <c r="E18" s="8"/>
      <c r="F18" s="8"/>
      <c r="G18" s="5"/>
      <c r="H18" s="8"/>
      <c r="I18" s="8"/>
      <c r="J18" s="8"/>
      <c r="K18" s="8"/>
      <c r="L18" s="4"/>
      <c r="M18" s="8"/>
      <c r="N18" s="5"/>
      <c r="O18" s="5"/>
      <c r="P18" s="5"/>
      <c r="Q18" s="5"/>
      <c r="R18" s="5"/>
      <c r="S18" s="109"/>
      <c r="T18" s="109"/>
      <c r="U18" s="110"/>
      <c r="V18" s="12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17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</row>
    <row r="19" spans="2:77" ht="14.5" x14ac:dyDescent="0.35">
      <c r="B19" s="7"/>
      <c r="C19" s="8"/>
      <c r="D19" s="8"/>
      <c r="E19" s="8"/>
      <c r="F19" s="8"/>
      <c r="G19" s="5"/>
      <c r="H19" s="8"/>
      <c r="I19" s="8"/>
      <c r="J19" s="8"/>
      <c r="K19" s="8"/>
      <c r="L19" s="4"/>
      <c r="M19" s="8"/>
      <c r="N19" s="5"/>
      <c r="O19" s="5"/>
      <c r="P19" s="5"/>
      <c r="Q19" s="5"/>
      <c r="R19" s="5"/>
      <c r="S19" s="109"/>
      <c r="T19" s="109"/>
      <c r="U19" s="110"/>
      <c r="V19" s="12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1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</row>
    <row r="20" spans="2:77" ht="14.5" x14ac:dyDescent="0.35">
      <c r="B20" s="7"/>
      <c r="C20" s="8"/>
      <c r="D20" s="8"/>
      <c r="E20" s="8"/>
      <c r="F20" s="8"/>
      <c r="G20" s="5"/>
      <c r="H20" s="8"/>
      <c r="I20" s="8"/>
      <c r="J20" s="8"/>
      <c r="K20" s="8"/>
      <c r="L20" s="4"/>
      <c r="M20" s="8"/>
      <c r="N20" s="5"/>
      <c r="O20" s="5"/>
      <c r="P20" s="5"/>
      <c r="Q20" s="5"/>
      <c r="R20" s="5"/>
      <c r="S20" s="109"/>
      <c r="T20" s="109"/>
      <c r="U20" s="110"/>
      <c r="V20" s="12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</row>
    <row r="21" spans="2:77" ht="14.5" x14ac:dyDescent="0.35">
      <c r="B21" s="7"/>
      <c r="C21" s="8"/>
      <c r="D21" s="8"/>
      <c r="E21" s="8"/>
      <c r="F21" s="8"/>
      <c r="G21" s="5"/>
      <c r="H21" s="8"/>
      <c r="I21" s="8"/>
      <c r="J21" s="8"/>
      <c r="K21" s="8"/>
      <c r="L21" s="4"/>
      <c r="M21" s="8"/>
      <c r="N21" s="5"/>
      <c r="O21" s="5"/>
      <c r="P21" s="5"/>
      <c r="Q21" s="5"/>
      <c r="R21" s="5"/>
      <c r="S21" s="109"/>
      <c r="T21" s="109"/>
      <c r="U21" s="110"/>
      <c r="V21" s="1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</row>
    <row r="22" spans="2:77" ht="14.5" x14ac:dyDescent="0.35">
      <c r="L22" s="4"/>
      <c r="M22" s="8"/>
    </row>
    <row r="23" spans="2:77" ht="14.5" x14ac:dyDescent="0.35">
      <c r="L23" s="4"/>
      <c r="M23" s="8"/>
    </row>
    <row r="24" spans="2:77" ht="14.5" x14ac:dyDescent="0.35">
      <c r="L24" s="4"/>
      <c r="M24" s="8"/>
    </row>
    <row r="25" spans="2:77" ht="14.5" x14ac:dyDescent="0.35">
      <c r="L25" s="4"/>
      <c r="M25" s="8"/>
    </row>
    <row r="26" spans="2:77" ht="14.5" x14ac:dyDescent="0.35">
      <c r="L26" s="4"/>
      <c r="M26" s="8"/>
    </row>
    <row r="27" spans="2:77" ht="14.5" x14ac:dyDescent="0.35">
      <c r="L27" s="4"/>
      <c r="M27" s="8"/>
    </row>
    <row r="28" spans="2:77" ht="14.5" x14ac:dyDescent="0.35">
      <c r="L28" s="4"/>
      <c r="M28" s="8"/>
    </row>
    <row r="29" spans="2:77" ht="14.5" x14ac:dyDescent="0.35">
      <c r="L29" s="4"/>
      <c r="M29" s="8"/>
    </row>
    <row r="30" spans="2:77" ht="14.5" x14ac:dyDescent="0.35">
      <c r="L30" s="4"/>
      <c r="M30" s="8"/>
    </row>
    <row r="31" spans="2:77" ht="14.5" x14ac:dyDescent="0.35">
      <c r="L31" s="4"/>
      <c r="M31" s="8"/>
    </row>
    <row r="32" spans="2:77" ht="14.5" x14ac:dyDescent="0.35">
      <c r="L32" s="4"/>
      <c r="M32" s="8"/>
    </row>
    <row r="33" spans="12:13" ht="14.5" x14ac:dyDescent="0.35">
      <c r="L33" s="4"/>
      <c r="M33" s="8"/>
    </row>
    <row r="34" spans="12:13" ht="14.5" x14ac:dyDescent="0.35">
      <c r="L34" s="4"/>
      <c r="M34" s="8"/>
    </row>
    <row r="35" spans="12:13" ht="14.5" x14ac:dyDescent="0.35">
      <c r="L35" s="4"/>
      <c r="M35" s="8"/>
    </row>
    <row r="36" spans="12:13" ht="14.5" x14ac:dyDescent="0.35">
      <c r="L36" s="4"/>
      <c r="M36" s="8"/>
    </row>
    <row r="37" spans="12:13" ht="14.5" x14ac:dyDescent="0.35">
      <c r="L37" s="4"/>
      <c r="M37" s="8"/>
    </row>
    <row r="38" spans="12:13" ht="14.5" x14ac:dyDescent="0.35">
      <c r="L38" s="4"/>
      <c r="M38" s="8"/>
    </row>
    <row r="39" spans="12:13" ht="14.5" x14ac:dyDescent="0.35">
      <c r="L39" s="4"/>
      <c r="M39" s="8"/>
    </row>
    <row r="40" spans="12:13" ht="14.5" x14ac:dyDescent="0.35">
      <c r="L40" s="4"/>
      <c r="M40" s="8"/>
    </row>
    <row r="41" spans="12:13" ht="14.5" x14ac:dyDescent="0.35">
      <c r="L41" s="4"/>
      <c r="M41" s="8"/>
    </row>
    <row r="42" spans="12:13" ht="14.5" x14ac:dyDescent="0.35">
      <c r="L42" s="4"/>
      <c r="M42" s="8"/>
    </row>
    <row r="43" spans="12:13" ht="14.5" x14ac:dyDescent="0.35">
      <c r="L43" s="4"/>
      <c r="M43" s="8"/>
    </row>
    <row r="44" spans="12:13" ht="14.5" x14ac:dyDescent="0.35">
      <c r="L44" s="4"/>
      <c r="M44" s="8"/>
    </row>
    <row r="45" spans="12:13" ht="14.5" x14ac:dyDescent="0.35">
      <c r="L45" s="4"/>
      <c r="M45" s="8"/>
    </row>
    <row r="46" spans="12:13" ht="14.5" x14ac:dyDescent="0.35">
      <c r="L46" s="4"/>
      <c r="M46" s="8"/>
    </row>
    <row r="47" spans="12:13" ht="14.5" x14ac:dyDescent="0.35">
      <c r="L47" s="4"/>
      <c r="M47" s="8"/>
    </row>
    <row r="48" spans="12:13" ht="14.5" x14ac:dyDescent="0.35">
      <c r="L48" s="4"/>
      <c r="M48" s="8"/>
    </row>
    <row r="49" spans="12:13" ht="14.5" x14ac:dyDescent="0.35">
      <c r="L49" s="4"/>
      <c r="M49" s="8"/>
    </row>
    <row r="50" spans="12:13" ht="14.5" x14ac:dyDescent="0.35">
      <c r="L50" s="4"/>
      <c r="M50" s="8"/>
    </row>
    <row r="51" spans="12:13" ht="14.5" x14ac:dyDescent="0.35">
      <c r="L51" s="4"/>
      <c r="M51" s="8"/>
    </row>
    <row r="52" spans="12:13" ht="14.5" x14ac:dyDescent="0.35">
      <c r="L52" s="4"/>
      <c r="M52" s="8"/>
    </row>
    <row r="53" spans="12:13" ht="14.5" x14ac:dyDescent="0.35">
      <c r="L53" s="4"/>
      <c r="M53" s="8"/>
    </row>
    <row r="54" spans="12:13" ht="14.5" x14ac:dyDescent="0.35">
      <c r="L54" s="4"/>
      <c r="M54" s="8"/>
    </row>
    <row r="55" spans="12:13" ht="14.5" x14ac:dyDescent="0.35">
      <c r="L55" s="4"/>
      <c r="M55" s="8"/>
    </row>
    <row r="56" spans="12:13" ht="14.5" x14ac:dyDescent="0.35">
      <c r="L56" s="4"/>
      <c r="M56" s="8"/>
    </row>
    <row r="57" spans="12:13" ht="14.5" x14ac:dyDescent="0.35">
      <c r="L57" s="4"/>
      <c r="M57" s="8"/>
    </row>
    <row r="58" spans="12:13" ht="14.5" x14ac:dyDescent="0.35">
      <c r="L58" s="4"/>
      <c r="M58" s="8"/>
    </row>
    <row r="59" spans="12:13" ht="14.5" x14ac:dyDescent="0.35">
      <c r="L59" s="4"/>
      <c r="M59" s="8"/>
    </row>
    <row r="60" spans="12:13" ht="14.5" x14ac:dyDescent="0.35">
      <c r="L60" s="4"/>
      <c r="M60" s="8"/>
    </row>
    <row r="61" spans="12:13" ht="14.5" x14ac:dyDescent="0.35">
      <c r="L61" s="4"/>
      <c r="M61" s="8"/>
    </row>
    <row r="62" spans="12:13" ht="14.5" x14ac:dyDescent="0.35">
      <c r="L62" s="4"/>
      <c r="M62" s="8"/>
    </row>
    <row r="63" spans="12:13" ht="14.5" x14ac:dyDescent="0.35">
      <c r="L63" s="4"/>
      <c r="M63" s="8"/>
    </row>
    <row r="64" spans="12:13" ht="14.5" x14ac:dyDescent="0.35">
      <c r="L64" s="4"/>
      <c r="M64" s="8"/>
    </row>
    <row r="65" spans="12:13" ht="14.5" x14ac:dyDescent="0.35">
      <c r="L65" s="4"/>
      <c r="M65" s="8"/>
    </row>
    <row r="66" spans="12:13" ht="14.5" x14ac:dyDescent="0.35">
      <c r="L66" s="4"/>
      <c r="M66" s="8"/>
    </row>
    <row r="67" spans="12:13" ht="14.5" x14ac:dyDescent="0.35">
      <c r="L67" s="4"/>
      <c r="M67" s="8"/>
    </row>
    <row r="68" spans="12:13" ht="14.5" x14ac:dyDescent="0.35">
      <c r="L68" s="4"/>
      <c r="M68" s="8"/>
    </row>
    <row r="69" spans="12:13" ht="14.5" x14ac:dyDescent="0.35">
      <c r="L69" s="4"/>
      <c r="M69" s="8"/>
    </row>
    <row r="70" spans="12:13" ht="14.5" x14ac:dyDescent="0.35">
      <c r="L70" s="4"/>
      <c r="M70" s="8"/>
    </row>
    <row r="71" spans="12:13" ht="14.5" x14ac:dyDescent="0.35">
      <c r="L71" s="4"/>
      <c r="M71" s="8"/>
    </row>
    <row r="72" spans="12:13" ht="14.5" x14ac:dyDescent="0.35">
      <c r="L72" s="4"/>
      <c r="M72" s="8"/>
    </row>
    <row r="73" spans="12:13" ht="14.5" x14ac:dyDescent="0.35">
      <c r="L73" s="4"/>
      <c r="M73" s="8"/>
    </row>
    <row r="74" spans="12:13" ht="14.5" x14ac:dyDescent="0.35">
      <c r="L74" s="4"/>
      <c r="M74" s="8"/>
    </row>
    <row r="75" spans="12:13" ht="14.5" x14ac:dyDescent="0.35">
      <c r="L75" s="4"/>
      <c r="M75" s="8"/>
    </row>
    <row r="76" spans="12:13" ht="14.5" x14ac:dyDescent="0.35">
      <c r="L76" s="4"/>
      <c r="M76" s="8"/>
    </row>
    <row r="77" spans="12:13" ht="14.5" x14ac:dyDescent="0.35">
      <c r="L77" s="4"/>
      <c r="M77" s="8"/>
    </row>
    <row r="78" spans="12:13" ht="14.5" x14ac:dyDescent="0.35">
      <c r="L78" s="4"/>
      <c r="M78" s="8"/>
    </row>
    <row r="79" spans="12:13" ht="14.5" x14ac:dyDescent="0.35">
      <c r="L79" s="4"/>
      <c r="M79" s="8"/>
    </row>
    <row r="80" spans="12:13" ht="14.5" x14ac:dyDescent="0.35">
      <c r="L80" s="4"/>
      <c r="M80" s="8"/>
    </row>
    <row r="81" spans="12:13" ht="14.5" x14ac:dyDescent="0.35">
      <c r="L81" s="4"/>
      <c r="M81" s="8"/>
    </row>
    <row r="82" spans="12:13" ht="14.5" x14ac:dyDescent="0.35">
      <c r="L82" s="4"/>
      <c r="M82" s="8"/>
    </row>
    <row r="83" spans="12:13" ht="14.5" x14ac:dyDescent="0.35">
      <c r="L83" s="4"/>
      <c r="M83" s="8"/>
    </row>
    <row r="84" spans="12:13" ht="14.5" x14ac:dyDescent="0.35">
      <c r="L84" s="4"/>
      <c r="M84" s="8"/>
    </row>
    <row r="85" spans="12:13" ht="14.5" x14ac:dyDescent="0.35">
      <c r="L85" s="4"/>
      <c r="M85" s="8"/>
    </row>
    <row r="86" spans="12:13" ht="14.5" x14ac:dyDescent="0.35">
      <c r="L86" s="4"/>
      <c r="M86" s="8"/>
    </row>
    <row r="87" spans="12:13" ht="14.5" x14ac:dyDescent="0.35">
      <c r="L87" s="4"/>
      <c r="M87" s="8"/>
    </row>
    <row r="88" spans="12:13" ht="14.5" x14ac:dyDescent="0.35">
      <c r="L88" s="4"/>
      <c r="M88" s="8"/>
    </row>
    <row r="89" spans="12:13" ht="14.5" x14ac:dyDescent="0.35">
      <c r="L89" s="4"/>
      <c r="M89" s="8"/>
    </row>
    <row r="90" spans="12:13" ht="14.5" x14ac:dyDescent="0.35">
      <c r="L90" s="4"/>
      <c r="M90" s="8"/>
    </row>
    <row r="91" spans="12:13" ht="14.5" x14ac:dyDescent="0.35">
      <c r="L91" s="4"/>
      <c r="M91" s="8"/>
    </row>
    <row r="92" spans="12:13" ht="14.5" x14ac:dyDescent="0.35">
      <c r="L92" s="4"/>
      <c r="M92" s="8"/>
    </row>
    <row r="93" spans="12:13" ht="14.5" x14ac:dyDescent="0.35">
      <c r="L93" s="4"/>
      <c r="M93" s="8"/>
    </row>
    <row r="94" spans="12:13" ht="14.5" x14ac:dyDescent="0.35">
      <c r="L94" s="4"/>
      <c r="M94" s="8"/>
    </row>
    <row r="95" spans="12:13" ht="14.5" x14ac:dyDescent="0.35">
      <c r="L95" s="4"/>
      <c r="M95" s="8"/>
    </row>
    <row r="96" spans="12:13" ht="14.5" x14ac:dyDescent="0.35">
      <c r="L96" s="4"/>
      <c r="M96" s="8"/>
    </row>
    <row r="97" spans="12:13" ht="14.5" x14ac:dyDescent="0.35">
      <c r="L97" s="4"/>
      <c r="M97" s="8"/>
    </row>
    <row r="98" spans="12:13" ht="14.5" x14ac:dyDescent="0.35">
      <c r="L98" s="4"/>
      <c r="M98" s="8"/>
    </row>
    <row r="99" spans="12:13" ht="14.5" x14ac:dyDescent="0.35">
      <c r="L99" s="4"/>
      <c r="M99" s="8"/>
    </row>
    <row r="100" spans="12:13" ht="14.5" x14ac:dyDescent="0.35">
      <c r="L100" s="4"/>
      <c r="M100" s="8"/>
    </row>
    <row r="101" spans="12:13" ht="14.5" x14ac:dyDescent="0.35">
      <c r="L101" s="4"/>
      <c r="M101" s="8"/>
    </row>
    <row r="102" spans="12:13" ht="14.5" x14ac:dyDescent="0.35">
      <c r="L102" s="4"/>
      <c r="M102" s="8"/>
    </row>
    <row r="103" spans="12:13" ht="14.5" x14ac:dyDescent="0.35">
      <c r="L103" s="4"/>
      <c r="M103" s="8"/>
    </row>
    <row r="104" spans="12:13" ht="14.5" x14ac:dyDescent="0.35">
      <c r="L104" s="4"/>
      <c r="M104" s="8"/>
    </row>
    <row r="105" spans="12:13" ht="14.5" x14ac:dyDescent="0.35">
      <c r="L105" s="4"/>
      <c r="M105" s="8"/>
    </row>
    <row r="106" spans="12:13" ht="14.5" x14ac:dyDescent="0.35">
      <c r="L106" s="4"/>
      <c r="M106" s="8"/>
    </row>
    <row r="107" spans="12:13" ht="14.5" x14ac:dyDescent="0.35">
      <c r="L107" s="4"/>
      <c r="M107" s="8"/>
    </row>
    <row r="108" spans="12:13" ht="14.5" x14ac:dyDescent="0.35">
      <c r="L108" s="4"/>
      <c r="M108" s="8"/>
    </row>
    <row r="109" spans="12:13" ht="14.5" x14ac:dyDescent="0.35">
      <c r="L109" s="4"/>
      <c r="M109" s="8"/>
    </row>
    <row r="110" spans="12:13" ht="14.5" x14ac:dyDescent="0.35">
      <c r="L110" s="4"/>
      <c r="M110" s="8"/>
    </row>
    <row r="111" spans="12:13" ht="14.5" x14ac:dyDescent="0.35">
      <c r="L111" s="4"/>
      <c r="M111" s="8"/>
    </row>
    <row r="112" spans="12:13" ht="14.5" x14ac:dyDescent="0.35">
      <c r="L112" s="4"/>
      <c r="M112" s="8"/>
    </row>
    <row r="113" spans="12:13" ht="14.5" x14ac:dyDescent="0.35">
      <c r="L113" s="4"/>
      <c r="M113" s="8"/>
    </row>
    <row r="114" spans="12:13" ht="14.5" x14ac:dyDescent="0.35">
      <c r="L114" s="4"/>
      <c r="M114" s="8"/>
    </row>
    <row r="115" spans="12:13" ht="14.5" x14ac:dyDescent="0.35">
      <c r="L115" s="4"/>
      <c r="M115" s="8"/>
    </row>
    <row r="116" spans="12:13" ht="14.5" x14ac:dyDescent="0.35">
      <c r="L116" s="4"/>
      <c r="M116" s="8"/>
    </row>
    <row r="117" spans="12:13" ht="14.5" x14ac:dyDescent="0.35">
      <c r="L117" s="4"/>
      <c r="M117" s="8"/>
    </row>
    <row r="118" spans="12:13" ht="14.5" x14ac:dyDescent="0.35">
      <c r="L118" s="4"/>
      <c r="M118" s="8"/>
    </row>
    <row r="119" spans="12:13" ht="14.5" x14ac:dyDescent="0.35">
      <c r="L119" s="4"/>
      <c r="M119" s="8"/>
    </row>
    <row r="120" spans="12:13" ht="14.5" x14ac:dyDescent="0.35">
      <c r="L120" s="4"/>
      <c r="M120" s="8"/>
    </row>
    <row r="121" spans="12:13" ht="14.5" x14ac:dyDescent="0.35">
      <c r="L121" s="4"/>
      <c r="M121" s="8"/>
    </row>
    <row r="122" spans="12:13" ht="14.5" x14ac:dyDescent="0.35">
      <c r="L122" s="4"/>
      <c r="M122" s="8"/>
    </row>
    <row r="123" spans="12:13" ht="14.5" x14ac:dyDescent="0.35">
      <c r="L123" s="4"/>
      <c r="M123" s="8"/>
    </row>
    <row r="124" spans="12:13" ht="14.5" x14ac:dyDescent="0.35">
      <c r="L124" s="4"/>
      <c r="M124" s="8"/>
    </row>
    <row r="125" spans="12:13" ht="14.5" x14ac:dyDescent="0.35">
      <c r="L125" s="4"/>
      <c r="M125" s="8"/>
    </row>
    <row r="126" spans="12:13" ht="14.5" x14ac:dyDescent="0.35">
      <c r="L126" s="4"/>
      <c r="M126" s="8"/>
    </row>
    <row r="127" spans="12:13" ht="14.5" x14ac:dyDescent="0.35">
      <c r="L127" s="4"/>
      <c r="M127" s="8"/>
    </row>
    <row r="128" spans="12:13" ht="14.5" x14ac:dyDescent="0.35">
      <c r="L128" s="4"/>
      <c r="M128" s="8"/>
    </row>
    <row r="129" spans="12:13" ht="14.5" x14ac:dyDescent="0.35">
      <c r="L129" s="4"/>
      <c r="M129" s="8"/>
    </row>
    <row r="130" spans="12:13" ht="14.5" x14ac:dyDescent="0.35">
      <c r="L130" s="4"/>
      <c r="M130" s="8"/>
    </row>
    <row r="131" spans="12:13" ht="14.5" x14ac:dyDescent="0.35">
      <c r="L131" s="4"/>
      <c r="M131" s="8"/>
    </row>
    <row r="132" spans="12:13" ht="14.5" x14ac:dyDescent="0.35">
      <c r="L132" s="4"/>
      <c r="M132" s="8"/>
    </row>
    <row r="133" spans="12:13" ht="14.5" x14ac:dyDescent="0.35">
      <c r="L133" s="4"/>
      <c r="M133" s="8"/>
    </row>
    <row r="134" spans="12:13" ht="14.5" x14ac:dyDescent="0.35">
      <c r="L134" s="4"/>
      <c r="M134" s="8"/>
    </row>
    <row r="135" spans="12:13" ht="14.5" x14ac:dyDescent="0.35">
      <c r="L135" s="4"/>
      <c r="M135" s="8"/>
    </row>
    <row r="136" spans="12:13" ht="14.5" x14ac:dyDescent="0.35">
      <c r="L136" s="4"/>
      <c r="M136" s="8"/>
    </row>
    <row r="137" spans="12:13" ht="14.5" x14ac:dyDescent="0.35">
      <c r="L137" s="4"/>
      <c r="M137" s="8"/>
    </row>
    <row r="138" spans="12:13" ht="14.5" x14ac:dyDescent="0.35">
      <c r="L138" s="4"/>
      <c r="M138" s="8"/>
    </row>
    <row r="139" spans="12:13" ht="14.5" x14ac:dyDescent="0.35">
      <c r="L139" s="4"/>
      <c r="M139" s="8"/>
    </row>
    <row r="140" spans="12:13" ht="14.5" x14ac:dyDescent="0.35">
      <c r="L140" s="4"/>
      <c r="M140" s="8"/>
    </row>
    <row r="141" spans="12:13" ht="14.5" x14ac:dyDescent="0.35">
      <c r="L141" s="4"/>
      <c r="M141" s="8"/>
    </row>
    <row r="142" spans="12:13" ht="14.5" x14ac:dyDescent="0.35">
      <c r="L142" s="4"/>
      <c r="M142" s="8"/>
    </row>
    <row r="143" spans="12:13" ht="14.5" x14ac:dyDescent="0.35">
      <c r="L143" s="4"/>
      <c r="M143" s="8"/>
    </row>
    <row r="144" spans="12:13" ht="14.5" x14ac:dyDescent="0.35">
      <c r="L144" s="4"/>
      <c r="M144" s="8"/>
    </row>
    <row r="145" spans="12:13" ht="14.5" x14ac:dyDescent="0.35">
      <c r="L145" s="4"/>
      <c r="M145" s="8"/>
    </row>
    <row r="146" spans="12:13" ht="14.5" x14ac:dyDescent="0.35">
      <c r="L146" s="4"/>
      <c r="M146" s="8"/>
    </row>
    <row r="147" spans="12:13" ht="14.5" x14ac:dyDescent="0.35">
      <c r="L147" s="4"/>
      <c r="M147" s="8"/>
    </row>
    <row r="148" spans="12:13" ht="14.5" x14ac:dyDescent="0.35">
      <c r="L148" s="4"/>
      <c r="M148" s="8"/>
    </row>
    <row r="149" spans="12:13" ht="14.5" x14ac:dyDescent="0.35">
      <c r="L149" s="4"/>
      <c r="M149" s="8"/>
    </row>
    <row r="150" spans="12:13" ht="14.5" x14ac:dyDescent="0.35">
      <c r="L150" s="4"/>
      <c r="M150" s="8"/>
    </row>
    <row r="151" spans="12:13" ht="14.5" x14ac:dyDescent="0.35">
      <c r="L151" s="4"/>
      <c r="M151" s="8"/>
    </row>
    <row r="152" spans="12:13" ht="14.5" x14ac:dyDescent="0.35">
      <c r="L152" s="4"/>
      <c r="M152" s="8"/>
    </row>
    <row r="153" spans="12:13" ht="14.5" x14ac:dyDescent="0.35">
      <c r="L153" s="4"/>
      <c r="M153" s="8"/>
    </row>
    <row r="154" spans="12:13" ht="14.5" x14ac:dyDescent="0.35">
      <c r="L154" s="4"/>
      <c r="M154" s="8"/>
    </row>
    <row r="155" spans="12:13" ht="14.5" x14ac:dyDescent="0.35">
      <c r="L155" s="4"/>
      <c r="M155" s="8"/>
    </row>
    <row r="156" spans="12:13" ht="14.5" x14ac:dyDescent="0.35">
      <c r="L156" s="4"/>
      <c r="M156" s="8"/>
    </row>
    <row r="157" spans="12:13" ht="14.5" x14ac:dyDescent="0.35">
      <c r="L157" s="4"/>
      <c r="M157" s="8"/>
    </row>
    <row r="158" spans="12:13" ht="14.5" x14ac:dyDescent="0.35">
      <c r="L158" s="4"/>
      <c r="M158" s="8"/>
    </row>
    <row r="159" spans="12:13" ht="14.5" x14ac:dyDescent="0.35">
      <c r="L159" s="4"/>
      <c r="M159" s="8"/>
    </row>
    <row r="160" spans="12:13" ht="14.5" x14ac:dyDescent="0.35">
      <c r="L160" s="4"/>
      <c r="M160" s="8"/>
    </row>
    <row r="161" spans="12:13" ht="14.5" x14ac:dyDescent="0.35">
      <c r="L161" s="4"/>
      <c r="M161" s="8"/>
    </row>
    <row r="162" spans="12:13" ht="14.5" x14ac:dyDescent="0.35">
      <c r="L162" s="4"/>
      <c r="M162" s="8"/>
    </row>
    <row r="163" spans="12:13" ht="14.5" x14ac:dyDescent="0.35">
      <c r="L163" s="4"/>
      <c r="M163" s="8"/>
    </row>
    <row r="164" spans="12:13" ht="14.5" x14ac:dyDescent="0.35">
      <c r="L164" s="4"/>
      <c r="M164" s="8"/>
    </row>
    <row r="165" spans="12:13" ht="14.5" x14ac:dyDescent="0.35">
      <c r="L165" s="4"/>
      <c r="M165" s="8"/>
    </row>
    <row r="166" spans="12:13" ht="14.5" x14ac:dyDescent="0.35">
      <c r="L166" s="4"/>
      <c r="M166" s="8"/>
    </row>
    <row r="167" spans="12:13" ht="14.5" x14ac:dyDescent="0.35">
      <c r="L167" s="4"/>
      <c r="M167" s="8"/>
    </row>
    <row r="168" spans="12:13" ht="14.5" x14ac:dyDescent="0.35">
      <c r="L168" s="4"/>
      <c r="M168" s="8"/>
    </row>
    <row r="169" spans="12:13" ht="14.5" x14ac:dyDescent="0.35">
      <c r="L169" s="4"/>
      <c r="M169" s="8"/>
    </row>
    <row r="170" spans="12:13" ht="14.5" x14ac:dyDescent="0.35">
      <c r="L170" s="4"/>
      <c r="M170" s="8"/>
    </row>
    <row r="171" spans="12:13" ht="14.5" x14ac:dyDescent="0.35">
      <c r="L171" s="4"/>
      <c r="M171" s="8"/>
    </row>
    <row r="172" spans="12:13" ht="14.5" x14ac:dyDescent="0.35">
      <c r="L172" s="4"/>
      <c r="M172" s="8"/>
    </row>
    <row r="173" spans="12:13" ht="14.5" x14ac:dyDescent="0.35">
      <c r="L173" s="4"/>
      <c r="M173" s="8"/>
    </row>
    <row r="174" spans="12:13" ht="14.5" x14ac:dyDescent="0.35">
      <c r="L174" s="4"/>
      <c r="M174" s="8"/>
    </row>
    <row r="175" spans="12:13" ht="14.5" x14ac:dyDescent="0.35">
      <c r="L175" s="4"/>
      <c r="M175" s="8"/>
    </row>
    <row r="176" spans="12:13" ht="14.5" x14ac:dyDescent="0.35">
      <c r="L176" s="4"/>
      <c r="M176" s="8"/>
    </row>
    <row r="177" spans="12:13" ht="14.5" x14ac:dyDescent="0.35">
      <c r="L177" s="4"/>
      <c r="M177" s="8"/>
    </row>
    <row r="178" spans="12:13" ht="14.5" x14ac:dyDescent="0.35">
      <c r="L178" s="4"/>
      <c r="M178" s="8"/>
    </row>
    <row r="179" spans="12:13" ht="14.5" x14ac:dyDescent="0.35">
      <c r="L179" s="4"/>
      <c r="M179" s="8"/>
    </row>
    <row r="180" spans="12:13" ht="14.5" x14ac:dyDescent="0.35">
      <c r="L180" s="4"/>
      <c r="M180" s="8"/>
    </row>
    <row r="181" spans="12:13" ht="14.5" x14ac:dyDescent="0.35">
      <c r="L181" s="4"/>
      <c r="M181" s="8"/>
    </row>
    <row r="182" spans="12:13" ht="14.5" x14ac:dyDescent="0.35">
      <c r="L182" s="4"/>
      <c r="M182" s="8"/>
    </row>
    <row r="183" spans="12:13" ht="14.5" x14ac:dyDescent="0.35">
      <c r="L183" s="4"/>
      <c r="M183" s="8"/>
    </row>
    <row r="184" spans="12:13" ht="14.5" x14ac:dyDescent="0.35">
      <c r="L184" s="4"/>
      <c r="M184" s="8"/>
    </row>
    <row r="185" spans="12:13" ht="14.5" x14ac:dyDescent="0.35">
      <c r="L185" s="4"/>
      <c r="M185" s="8"/>
    </row>
    <row r="186" spans="12:13" ht="14.5" x14ac:dyDescent="0.35">
      <c r="L186" s="4"/>
      <c r="M186" s="8"/>
    </row>
    <row r="187" spans="12:13" ht="14.5" x14ac:dyDescent="0.35">
      <c r="L187" s="4"/>
      <c r="M187" s="8"/>
    </row>
    <row r="188" spans="12:13" ht="14.5" x14ac:dyDescent="0.35">
      <c r="L188" s="4"/>
      <c r="M188" s="8"/>
    </row>
    <row r="189" spans="12:13" ht="14.5" x14ac:dyDescent="0.35">
      <c r="L189" s="4"/>
      <c r="M189" s="8"/>
    </row>
    <row r="190" spans="12:13" ht="14.5" x14ac:dyDescent="0.35">
      <c r="L190" s="4"/>
      <c r="M190" s="8"/>
    </row>
    <row r="191" spans="12:13" ht="14.5" x14ac:dyDescent="0.35">
      <c r="L191" s="4"/>
      <c r="M191" s="8"/>
    </row>
    <row r="192" spans="12:13" ht="14.5" x14ac:dyDescent="0.35">
      <c r="L192" s="4"/>
      <c r="M192" s="8"/>
    </row>
    <row r="193" spans="12:13" ht="14.5" x14ac:dyDescent="0.35">
      <c r="L193" s="4"/>
      <c r="M193" s="8"/>
    </row>
    <row r="194" spans="12:13" ht="14.5" x14ac:dyDescent="0.35">
      <c r="L194" s="4"/>
      <c r="M194" s="8"/>
    </row>
    <row r="195" spans="12:13" ht="14.5" x14ac:dyDescent="0.35">
      <c r="L195" s="4"/>
      <c r="M195" s="8"/>
    </row>
    <row r="196" spans="12:13" ht="14.5" x14ac:dyDescent="0.35">
      <c r="L196" s="4"/>
      <c r="M196" s="8"/>
    </row>
    <row r="197" spans="12:13" ht="14.5" x14ac:dyDescent="0.35">
      <c r="L197" s="4"/>
      <c r="M197" s="8"/>
    </row>
    <row r="198" spans="12:13" ht="14.5" x14ac:dyDescent="0.35">
      <c r="L198" s="4"/>
      <c r="M198" s="8"/>
    </row>
    <row r="199" spans="12:13" ht="14.5" x14ac:dyDescent="0.35">
      <c r="L199" s="4"/>
      <c r="M199" s="8"/>
    </row>
    <row r="200" spans="12:13" ht="14.5" x14ac:dyDescent="0.35">
      <c r="L200" s="4"/>
      <c r="M200" s="8"/>
    </row>
    <row r="201" spans="12:13" ht="14.5" x14ac:dyDescent="0.35">
      <c r="L201" s="4"/>
      <c r="M201" s="8"/>
    </row>
    <row r="202" spans="12:13" ht="14.5" x14ac:dyDescent="0.35">
      <c r="L202" s="4"/>
      <c r="M202" s="8"/>
    </row>
    <row r="203" spans="12:13" ht="14.5" x14ac:dyDescent="0.35">
      <c r="L203" s="4"/>
      <c r="M203" s="8"/>
    </row>
    <row r="204" spans="12:13" ht="14.5" x14ac:dyDescent="0.35">
      <c r="L204" s="4"/>
      <c r="M204" s="8"/>
    </row>
    <row r="205" spans="12:13" ht="14.5" x14ac:dyDescent="0.35">
      <c r="L205" s="4"/>
      <c r="M205" s="8"/>
    </row>
    <row r="206" spans="12:13" ht="14.5" x14ac:dyDescent="0.35">
      <c r="L206" s="4"/>
      <c r="M206" s="8"/>
    </row>
    <row r="207" spans="12:13" ht="14.5" x14ac:dyDescent="0.35">
      <c r="L207" s="4"/>
      <c r="M207" s="8"/>
    </row>
    <row r="208" spans="12:13" ht="14.5" x14ac:dyDescent="0.35">
      <c r="L208" s="4"/>
      <c r="M208" s="8"/>
    </row>
    <row r="209" spans="12:13" ht="14.5" x14ac:dyDescent="0.35">
      <c r="L209" s="4"/>
      <c r="M209" s="8"/>
    </row>
    <row r="210" spans="12:13" ht="14.5" x14ac:dyDescent="0.35">
      <c r="L210" s="4"/>
      <c r="M210" s="8"/>
    </row>
    <row r="211" spans="12:13" ht="14.5" x14ac:dyDescent="0.35">
      <c r="L211" s="4"/>
      <c r="M211" s="8"/>
    </row>
    <row r="212" spans="12:13" ht="14.5" x14ac:dyDescent="0.35">
      <c r="L212" s="4"/>
      <c r="M212" s="8"/>
    </row>
    <row r="213" spans="12:13" ht="14.5" x14ac:dyDescent="0.35">
      <c r="L213" s="4"/>
      <c r="M213" s="8"/>
    </row>
    <row r="214" spans="12:13" ht="14.5" x14ac:dyDescent="0.35">
      <c r="L214" s="4"/>
      <c r="M214" s="8"/>
    </row>
    <row r="215" spans="12:13" ht="14.5" x14ac:dyDescent="0.35">
      <c r="L215" s="4"/>
      <c r="M215" s="8"/>
    </row>
    <row r="216" spans="12:13" ht="14.5" x14ac:dyDescent="0.35">
      <c r="L216" s="4"/>
      <c r="M216" s="8"/>
    </row>
    <row r="217" spans="12:13" ht="14.5" x14ac:dyDescent="0.35">
      <c r="L217" s="4"/>
      <c r="M217" s="8"/>
    </row>
    <row r="218" spans="12:13" ht="14.5" x14ac:dyDescent="0.35">
      <c r="L218" s="4"/>
      <c r="M218" s="8"/>
    </row>
    <row r="219" spans="12:13" ht="14.5" x14ac:dyDescent="0.35">
      <c r="L219" s="4"/>
      <c r="M219" s="8"/>
    </row>
    <row r="220" spans="12:13" ht="14.5" x14ac:dyDescent="0.35">
      <c r="L220" s="4"/>
      <c r="M220" s="8"/>
    </row>
    <row r="221" spans="12:13" ht="14.5" x14ac:dyDescent="0.35">
      <c r="L221" s="4"/>
      <c r="M221" s="8"/>
    </row>
    <row r="222" spans="12:13" ht="14.5" x14ac:dyDescent="0.35">
      <c r="L222" s="4"/>
      <c r="M222" s="8"/>
    </row>
    <row r="223" spans="12:13" ht="14.5" x14ac:dyDescent="0.35">
      <c r="L223" s="4"/>
      <c r="M223" s="8"/>
    </row>
    <row r="224" spans="12:13" ht="14.5" x14ac:dyDescent="0.35">
      <c r="L224" s="4"/>
      <c r="M224" s="8"/>
    </row>
    <row r="225" spans="12:13" ht="14.5" x14ac:dyDescent="0.35">
      <c r="L225" s="4"/>
      <c r="M225" s="8"/>
    </row>
    <row r="226" spans="12:13" ht="14.5" x14ac:dyDescent="0.35">
      <c r="L226" s="4"/>
      <c r="M226" s="8"/>
    </row>
    <row r="227" spans="12:13" ht="14.5" x14ac:dyDescent="0.35">
      <c r="L227" s="4"/>
      <c r="M227" s="8"/>
    </row>
    <row r="228" spans="12:13" ht="14.5" x14ac:dyDescent="0.35">
      <c r="L228" s="4"/>
      <c r="M228" s="8"/>
    </row>
    <row r="229" spans="12:13" ht="14.5" x14ac:dyDescent="0.35">
      <c r="L229" s="4"/>
      <c r="M229" s="8"/>
    </row>
    <row r="230" spans="12:13" ht="14.5" x14ac:dyDescent="0.35">
      <c r="L230" s="4"/>
      <c r="M230" s="8"/>
    </row>
    <row r="231" spans="12:13" ht="14.5" x14ac:dyDescent="0.35">
      <c r="L231" s="4"/>
      <c r="M231" s="8"/>
    </row>
    <row r="232" spans="12:13" ht="14.5" x14ac:dyDescent="0.35">
      <c r="L232" s="4"/>
      <c r="M232" s="8"/>
    </row>
    <row r="233" spans="12:13" ht="14.5" x14ac:dyDescent="0.35">
      <c r="L233" s="4"/>
      <c r="M233" s="8"/>
    </row>
    <row r="234" spans="12:13" ht="14.5" x14ac:dyDescent="0.35">
      <c r="L234" s="4"/>
      <c r="M234" s="8"/>
    </row>
    <row r="235" spans="12:13" ht="14.5" x14ac:dyDescent="0.35">
      <c r="L235" s="4"/>
      <c r="M235" s="8"/>
    </row>
    <row r="236" spans="12:13" ht="14.5" x14ac:dyDescent="0.35">
      <c r="L236" s="4"/>
      <c r="M236" s="8"/>
    </row>
    <row r="237" spans="12:13" ht="14.5" x14ac:dyDescent="0.35">
      <c r="L237" s="4"/>
      <c r="M237" s="8"/>
    </row>
    <row r="238" spans="12:13" ht="14.5" x14ac:dyDescent="0.35">
      <c r="L238" s="4"/>
      <c r="M238" s="8"/>
    </row>
    <row r="239" spans="12:13" ht="14.5" x14ac:dyDescent="0.35">
      <c r="L239" s="4"/>
      <c r="M239" s="8"/>
    </row>
    <row r="240" spans="12:13" ht="14.5" x14ac:dyDescent="0.35">
      <c r="L240" s="4"/>
      <c r="M240" s="8"/>
    </row>
    <row r="241" spans="12:13" ht="14.5" x14ac:dyDescent="0.35">
      <c r="L241" s="4"/>
      <c r="M241" s="8"/>
    </row>
    <row r="242" spans="12:13" ht="14.5" x14ac:dyDescent="0.35">
      <c r="L242" s="4"/>
      <c r="M242" s="8"/>
    </row>
    <row r="243" spans="12:13" ht="14.5" x14ac:dyDescent="0.35">
      <c r="L243" s="4"/>
      <c r="M243" s="8"/>
    </row>
    <row r="244" spans="12:13" ht="14.5" x14ac:dyDescent="0.35">
      <c r="L244" s="4"/>
      <c r="M244" s="8"/>
    </row>
    <row r="245" spans="12:13" ht="14.5" x14ac:dyDescent="0.35">
      <c r="L245" s="4"/>
      <c r="M245" s="8"/>
    </row>
    <row r="246" spans="12:13" ht="14.5" x14ac:dyDescent="0.35">
      <c r="L246" s="4"/>
      <c r="M246" s="8"/>
    </row>
    <row r="247" spans="12:13" ht="14.5" x14ac:dyDescent="0.35">
      <c r="L247" s="4"/>
      <c r="M247" s="8"/>
    </row>
    <row r="248" spans="12:13" ht="14.5" x14ac:dyDescent="0.35">
      <c r="L248" s="4"/>
      <c r="M248" s="8"/>
    </row>
    <row r="249" spans="12:13" ht="14.5" x14ac:dyDescent="0.35">
      <c r="L249" s="4"/>
      <c r="M249" s="8"/>
    </row>
    <row r="250" spans="12:13" ht="14.5" x14ac:dyDescent="0.35">
      <c r="L250" s="4"/>
      <c r="M250" s="8"/>
    </row>
    <row r="251" spans="12:13" ht="14.5" x14ac:dyDescent="0.35">
      <c r="L251" s="4"/>
      <c r="M251" s="8"/>
    </row>
    <row r="252" spans="12:13" ht="14.5" x14ac:dyDescent="0.35">
      <c r="L252" s="4"/>
      <c r="M252" s="8"/>
    </row>
    <row r="253" spans="12:13" ht="14.5" x14ac:dyDescent="0.35">
      <c r="L253" s="4"/>
      <c r="M253" s="8"/>
    </row>
    <row r="254" spans="12:13" ht="14.5" x14ac:dyDescent="0.35">
      <c r="L254" s="4"/>
      <c r="M254" s="8"/>
    </row>
    <row r="255" spans="12:13" ht="14.5" x14ac:dyDescent="0.35">
      <c r="L255" s="4"/>
      <c r="M255" s="8"/>
    </row>
    <row r="256" spans="12:13" ht="14.5" x14ac:dyDescent="0.35">
      <c r="L256" s="4"/>
      <c r="M256" s="8"/>
    </row>
    <row r="257" spans="12:13" ht="14.5" x14ac:dyDescent="0.35">
      <c r="L257" s="4"/>
      <c r="M257" s="8"/>
    </row>
    <row r="258" spans="12:13" ht="14.5" x14ac:dyDescent="0.35">
      <c r="L258" s="4"/>
      <c r="M258" s="8"/>
    </row>
    <row r="259" spans="12:13" ht="14.5" x14ac:dyDescent="0.35">
      <c r="L259" s="4"/>
      <c r="M259" s="8"/>
    </row>
    <row r="260" spans="12:13" ht="14.5" x14ac:dyDescent="0.35">
      <c r="L260" s="4"/>
      <c r="M260" s="8"/>
    </row>
    <row r="261" spans="12:13" ht="14.5" x14ac:dyDescent="0.35">
      <c r="L261" s="4"/>
      <c r="M261" s="8"/>
    </row>
    <row r="262" spans="12:13" ht="14.5" x14ac:dyDescent="0.35">
      <c r="L262" s="4"/>
      <c r="M262" s="8"/>
    </row>
    <row r="263" spans="12:13" ht="14.5" x14ac:dyDescent="0.35">
      <c r="L263" s="4"/>
      <c r="M263" s="8"/>
    </row>
    <row r="264" spans="12:13" ht="14.5" x14ac:dyDescent="0.35">
      <c r="L264" s="4"/>
      <c r="M264" s="8"/>
    </row>
    <row r="265" spans="12:13" ht="14.5" x14ac:dyDescent="0.35">
      <c r="L265" s="4"/>
      <c r="M265" s="8"/>
    </row>
    <row r="266" spans="12:13" ht="14.5" x14ac:dyDescent="0.35">
      <c r="L266" s="4"/>
      <c r="M266" s="8"/>
    </row>
    <row r="267" spans="12:13" ht="14.5" x14ac:dyDescent="0.35">
      <c r="L267" s="4"/>
      <c r="M267" s="8"/>
    </row>
    <row r="268" spans="12:13" ht="14.5" x14ac:dyDescent="0.35">
      <c r="L268" s="4"/>
      <c r="M268" s="8"/>
    </row>
    <row r="269" spans="12:13" ht="14.5" x14ac:dyDescent="0.35">
      <c r="L269" s="4"/>
      <c r="M269" s="8"/>
    </row>
    <row r="270" spans="12:13" ht="14.5" x14ac:dyDescent="0.35">
      <c r="L270" s="4"/>
      <c r="M270" s="8"/>
    </row>
    <row r="271" spans="12:13" ht="14.5" x14ac:dyDescent="0.35">
      <c r="L271" s="4"/>
      <c r="M271" s="8"/>
    </row>
    <row r="272" spans="12:13" ht="14.5" x14ac:dyDescent="0.35">
      <c r="L272" s="4"/>
      <c r="M272" s="8"/>
    </row>
    <row r="273" spans="12:13" ht="14.5" x14ac:dyDescent="0.35">
      <c r="L273" s="4"/>
      <c r="M273" s="8"/>
    </row>
    <row r="274" spans="12:13" ht="14.5" x14ac:dyDescent="0.35">
      <c r="L274" s="4"/>
      <c r="M274" s="8"/>
    </row>
    <row r="275" spans="12:13" ht="14.5" x14ac:dyDescent="0.35">
      <c r="L275" s="4"/>
      <c r="M275" s="8"/>
    </row>
    <row r="276" spans="12:13" ht="14.5" x14ac:dyDescent="0.35">
      <c r="L276" s="4"/>
      <c r="M276" s="8"/>
    </row>
    <row r="277" spans="12:13" ht="14.5" x14ac:dyDescent="0.35">
      <c r="L277" s="4"/>
      <c r="M277" s="8"/>
    </row>
    <row r="278" spans="12:13" ht="14.5" x14ac:dyDescent="0.35">
      <c r="L278" s="4"/>
      <c r="M278" s="8"/>
    </row>
    <row r="279" spans="12:13" ht="14.5" x14ac:dyDescent="0.35">
      <c r="L279" s="4"/>
      <c r="M279" s="8"/>
    </row>
    <row r="280" spans="12:13" ht="14.5" x14ac:dyDescent="0.35">
      <c r="L280" s="4"/>
      <c r="M280" s="8"/>
    </row>
    <row r="281" spans="12:13" ht="14.5" x14ac:dyDescent="0.35">
      <c r="L281" s="4"/>
      <c r="M281" s="8"/>
    </row>
    <row r="282" spans="12:13" ht="14.5" x14ac:dyDescent="0.35">
      <c r="L282" s="4"/>
      <c r="M282" s="8"/>
    </row>
    <row r="283" spans="12:13" ht="14.5" x14ac:dyDescent="0.35">
      <c r="L283" s="4"/>
      <c r="M283" s="8"/>
    </row>
    <row r="284" spans="12:13" ht="14.5" x14ac:dyDescent="0.35">
      <c r="L284" s="4"/>
      <c r="M284" s="8"/>
    </row>
    <row r="285" spans="12:13" ht="14.5" x14ac:dyDescent="0.35">
      <c r="L285" s="4"/>
      <c r="M285" s="8"/>
    </row>
    <row r="286" spans="12:13" ht="14.5" x14ac:dyDescent="0.35">
      <c r="L286" s="4"/>
      <c r="M286" s="8"/>
    </row>
    <row r="287" spans="12:13" ht="14.5" x14ac:dyDescent="0.35">
      <c r="L287" s="4"/>
      <c r="M287" s="8"/>
    </row>
    <row r="288" spans="12:13" ht="14.5" x14ac:dyDescent="0.35">
      <c r="L288" s="4"/>
      <c r="M288" s="8"/>
    </row>
    <row r="289" spans="12:13" ht="14.5" x14ac:dyDescent="0.35">
      <c r="L289" s="4"/>
      <c r="M289" s="8"/>
    </row>
    <row r="290" spans="12:13" ht="14.5" x14ac:dyDescent="0.35">
      <c r="L290" s="4"/>
      <c r="M290" s="8"/>
    </row>
    <row r="291" spans="12:13" ht="14.5" x14ac:dyDescent="0.35">
      <c r="L291" s="4"/>
      <c r="M291" s="8"/>
    </row>
    <row r="292" spans="12:13" ht="14.5" x14ac:dyDescent="0.35">
      <c r="L292" s="4"/>
      <c r="M292" s="8"/>
    </row>
    <row r="293" spans="12:13" ht="14.5" x14ac:dyDescent="0.35">
      <c r="L293" s="4"/>
      <c r="M293" s="8"/>
    </row>
    <row r="294" spans="12:13" ht="14.5" x14ac:dyDescent="0.35">
      <c r="L294" s="4"/>
      <c r="M294" s="8"/>
    </row>
    <row r="295" spans="12:13" ht="14.5" x14ac:dyDescent="0.35">
      <c r="L295" s="4"/>
      <c r="M295" s="8"/>
    </row>
    <row r="296" spans="12:13" ht="14.5" x14ac:dyDescent="0.35">
      <c r="L296" s="4"/>
      <c r="M296" s="8"/>
    </row>
    <row r="297" spans="12:13" ht="14.5" x14ac:dyDescent="0.35">
      <c r="L297" s="4"/>
      <c r="M297" s="8"/>
    </row>
    <row r="298" spans="12:13" ht="14.5" x14ac:dyDescent="0.35">
      <c r="L298" s="4"/>
      <c r="M298" s="8"/>
    </row>
    <row r="299" spans="12:13" ht="14.5" x14ac:dyDescent="0.35">
      <c r="L299" s="4"/>
      <c r="M299" s="8"/>
    </row>
    <row r="300" spans="12:13" ht="14.5" x14ac:dyDescent="0.35">
      <c r="L300" s="4"/>
      <c r="M300" s="8"/>
    </row>
    <row r="301" spans="12:13" ht="14.5" x14ac:dyDescent="0.35">
      <c r="L301" s="4"/>
      <c r="M301" s="8"/>
    </row>
    <row r="302" spans="12:13" ht="14.5" x14ac:dyDescent="0.35">
      <c r="L302" s="4"/>
      <c r="M302" s="8"/>
    </row>
    <row r="303" spans="12:13" ht="14.5" x14ac:dyDescent="0.35">
      <c r="L303" s="4"/>
      <c r="M303" s="8"/>
    </row>
    <row r="304" spans="12:13" ht="14.5" x14ac:dyDescent="0.35">
      <c r="L304" s="4"/>
      <c r="M304" s="8"/>
    </row>
    <row r="305" spans="12:13" ht="14.5" x14ac:dyDescent="0.35">
      <c r="L305" s="4"/>
      <c r="M305" s="8"/>
    </row>
    <row r="306" spans="12:13" ht="14.5" x14ac:dyDescent="0.35">
      <c r="L306" s="4"/>
      <c r="M306" s="8"/>
    </row>
    <row r="307" spans="12:13" ht="14.5" x14ac:dyDescent="0.35">
      <c r="L307" s="4"/>
      <c r="M307" s="8"/>
    </row>
    <row r="308" spans="12:13" ht="14.5" x14ac:dyDescent="0.35">
      <c r="L308" s="4"/>
      <c r="M308" s="8"/>
    </row>
    <row r="309" spans="12:13" ht="14.5" x14ac:dyDescent="0.35">
      <c r="L309" s="4"/>
      <c r="M309" s="8"/>
    </row>
    <row r="310" spans="12:13" ht="14.5" x14ac:dyDescent="0.35">
      <c r="L310" s="4"/>
      <c r="M310" s="8"/>
    </row>
    <row r="311" spans="12:13" ht="14.5" x14ac:dyDescent="0.35">
      <c r="L311" s="4"/>
      <c r="M311" s="8"/>
    </row>
    <row r="312" spans="12:13" ht="14.5" x14ac:dyDescent="0.35">
      <c r="L312" s="4"/>
      <c r="M312" s="8"/>
    </row>
    <row r="313" spans="12:13" ht="14.5" x14ac:dyDescent="0.35">
      <c r="L313" s="4"/>
      <c r="M313" s="8"/>
    </row>
    <row r="314" spans="12:13" ht="14.5" x14ac:dyDescent="0.35">
      <c r="L314" s="4"/>
      <c r="M314" s="8"/>
    </row>
    <row r="315" spans="12:13" ht="14.5" x14ac:dyDescent="0.35">
      <c r="L315" s="4"/>
      <c r="M315" s="8"/>
    </row>
    <row r="316" spans="12:13" ht="14.5" x14ac:dyDescent="0.35">
      <c r="L316" s="4"/>
      <c r="M316" s="8"/>
    </row>
    <row r="317" spans="12:13" ht="14.5" x14ac:dyDescent="0.35">
      <c r="L317" s="4"/>
      <c r="M317" s="8"/>
    </row>
    <row r="318" spans="12:13" ht="14.5" x14ac:dyDescent="0.35">
      <c r="L318" s="4"/>
      <c r="M318" s="8"/>
    </row>
    <row r="319" spans="12:13" ht="14.5" x14ac:dyDescent="0.35">
      <c r="L319" s="4"/>
      <c r="M319" s="8"/>
    </row>
    <row r="320" spans="12:13" ht="14.5" x14ac:dyDescent="0.35">
      <c r="L320" s="4"/>
      <c r="M320" s="8"/>
    </row>
    <row r="321" spans="12:13" ht="14.5" x14ac:dyDescent="0.35">
      <c r="L321" s="4"/>
      <c r="M321" s="8"/>
    </row>
    <row r="322" spans="12:13" ht="14.5" x14ac:dyDescent="0.35">
      <c r="L322" s="4"/>
      <c r="M322" s="8"/>
    </row>
    <row r="323" spans="12:13" ht="14.5" x14ac:dyDescent="0.35">
      <c r="L323" s="4"/>
      <c r="M323" s="8"/>
    </row>
    <row r="324" spans="12:13" ht="14.5" x14ac:dyDescent="0.35">
      <c r="L324" s="4"/>
      <c r="M324" s="8"/>
    </row>
    <row r="325" spans="12:13" ht="14.5" x14ac:dyDescent="0.35">
      <c r="L325" s="4"/>
      <c r="M325" s="8"/>
    </row>
    <row r="326" spans="12:13" ht="14.5" x14ac:dyDescent="0.35">
      <c r="L326" s="4"/>
      <c r="M326" s="8"/>
    </row>
    <row r="327" spans="12:13" ht="14.5" x14ac:dyDescent="0.35">
      <c r="L327" s="4"/>
      <c r="M327" s="8"/>
    </row>
    <row r="328" spans="12:13" ht="14.5" x14ac:dyDescent="0.35">
      <c r="L328" s="4"/>
      <c r="M328" s="8"/>
    </row>
    <row r="329" spans="12:13" ht="14.5" x14ac:dyDescent="0.35">
      <c r="L329" s="4"/>
      <c r="M329" s="8"/>
    </row>
    <row r="330" spans="12:13" ht="14.5" x14ac:dyDescent="0.35">
      <c r="L330" s="4"/>
      <c r="M330" s="8"/>
    </row>
    <row r="331" spans="12:13" ht="14.5" x14ac:dyDescent="0.35">
      <c r="L331" s="4"/>
      <c r="M331" s="8"/>
    </row>
    <row r="332" spans="12:13" ht="14.5" x14ac:dyDescent="0.35">
      <c r="L332" s="4"/>
      <c r="M332" s="8"/>
    </row>
    <row r="333" spans="12:13" ht="14.5" x14ac:dyDescent="0.35">
      <c r="L333" s="4"/>
      <c r="M333" s="8"/>
    </row>
    <row r="334" spans="12:13" ht="14.5" x14ac:dyDescent="0.35">
      <c r="L334" s="4"/>
      <c r="M334" s="8"/>
    </row>
    <row r="335" spans="12:13" ht="14.5" x14ac:dyDescent="0.35">
      <c r="L335" s="4"/>
      <c r="M335" s="8"/>
    </row>
    <row r="336" spans="12:13" ht="14.5" x14ac:dyDescent="0.35">
      <c r="L336" s="4"/>
      <c r="M336" s="8"/>
    </row>
    <row r="337" spans="12:13" ht="14.5" x14ac:dyDescent="0.35">
      <c r="L337" s="4"/>
      <c r="M337" s="8"/>
    </row>
    <row r="338" spans="12:13" ht="14.5" x14ac:dyDescent="0.35">
      <c r="L338" s="4"/>
      <c r="M338" s="8"/>
    </row>
    <row r="339" spans="12:13" ht="14.5" x14ac:dyDescent="0.35">
      <c r="L339" s="4"/>
      <c r="M339" s="8"/>
    </row>
    <row r="340" spans="12:13" ht="14.5" x14ac:dyDescent="0.35">
      <c r="L340" s="4"/>
      <c r="M340" s="8"/>
    </row>
    <row r="341" spans="12:13" ht="14.5" x14ac:dyDescent="0.35">
      <c r="L341" s="4"/>
      <c r="M341" s="8"/>
    </row>
    <row r="342" spans="12:13" ht="14.5" x14ac:dyDescent="0.35">
      <c r="L342" s="4"/>
      <c r="M342" s="8"/>
    </row>
    <row r="343" spans="12:13" ht="14.5" x14ac:dyDescent="0.35">
      <c r="L343" s="4"/>
      <c r="M343" s="8"/>
    </row>
    <row r="344" spans="12:13" ht="14.5" x14ac:dyDescent="0.35">
      <c r="L344" s="4"/>
      <c r="M344" s="8"/>
    </row>
    <row r="345" spans="12:13" ht="14.5" x14ac:dyDescent="0.35">
      <c r="L345" s="4"/>
      <c r="M345" s="8"/>
    </row>
    <row r="346" spans="12:13" ht="14.5" x14ac:dyDescent="0.35">
      <c r="L346" s="4"/>
      <c r="M346" s="8"/>
    </row>
    <row r="347" spans="12:13" ht="14.5" x14ac:dyDescent="0.35">
      <c r="L347" s="4"/>
      <c r="M347" s="8"/>
    </row>
    <row r="348" spans="12:13" ht="14.5" x14ac:dyDescent="0.35">
      <c r="L348" s="4"/>
      <c r="M348" s="8"/>
    </row>
    <row r="349" spans="12:13" ht="14.5" x14ac:dyDescent="0.35">
      <c r="L349" s="4"/>
      <c r="M349" s="8"/>
    </row>
    <row r="350" spans="12:13" ht="14.5" x14ac:dyDescent="0.35">
      <c r="L350" s="4"/>
      <c r="M350" s="8"/>
    </row>
    <row r="351" spans="12:13" ht="14.5" x14ac:dyDescent="0.35">
      <c r="L351" s="4"/>
      <c r="M351" s="8"/>
    </row>
    <row r="352" spans="12:13" ht="14.5" x14ac:dyDescent="0.35">
      <c r="L352" s="4"/>
      <c r="M352" s="8"/>
    </row>
    <row r="353" spans="12:13" ht="14.5" x14ac:dyDescent="0.35">
      <c r="L353" s="4"/>
      <c r="M353" s="8"/>
    </row>
    <row r="354" spans="12:13" ht="14.5" x14ac:dyDescent="0.35">
      <c r="L354" s="4"/>
      <c r="M354" s="8"/>
    </row>
    <row r="355" spans="12:13" ht="14.5" x14ac:dyDescent="0.35">
      <c r="L355" s="4"/>
      <c r="M355" s="8"/>
    </row>
    <row r="356" spans="12:13" ht="14.5" x14ac:dyDescent="0.35">
      <c r="L356" s="4"/>
      <c r="M356" s="8"/>
    </row>
    <row r="357" spans="12:13" ht="14.5" x14ac:dyDescent="0.35">
      <c r="L357" s="4"/>
      <c r="M357" s="8"/>
    </row>
    <row r="358" spans="12:13" ht="14.5" x14ac:dyDescent="0.35">
      <c r="L358" s="4"/>
      <c r="M358" s="8"/>
    </row>
    <row r="359" spans="12:13" ht="14.5" x14ac:dyDescent="0.35">
      <c r="L359" s="4"/>
      <c r="M359" s="8"/>
    </row>
    <row r="360" spans="12:13" ht="14.5" x14ac:dyDescent="0.35">
      <c r="L360" s="4"/>
      <c r="M360" s="8"/>
    </row>
    <row r="361" spans="12:13" ht="14.5" x14ac:dyDescent="0.35">
      <c r="L361" s="4"/>
      <c r="M361" s="8"/>
    </row>
    <row r="362" spans="12:13" ht="14.5" x14ac:dyDescent="0.35">
      <c r="L362" s="4"/>
      <c r="M362" s="8"/>
    </row>
    <row r="363" spans="12:13" ht="14.5" x14ac:dyDescent="0.35">
      <c r="L363" s="4"/>
      <c r="M363" s="8"/>
    </row>
    <row r="364" spans="12:13" ht="14.5" x14ac:dyDescent="0.35">
      <c r="L364" s="4"/>
      <c r="M364" s="8"/>
    </row>
    <row r="365" spans="12:13" ht="14.5" x14ac:dyDescent="0.35">
      <c r="L365" s="4"/>
      <c r="M365" s="8"/>
    </row>
    <row r="366" spans="12:13" ht="14.5" x14ac:dyDescent="0.35">
      <c r="L366" s="4"/>
      <c r="M366" s="8"/>
    </row>
    <row r="367" spans="12:13" ht="14.5" x14ac:dyDescent="0.35">
      <c r="L367" s="4"/>
      <c r="M367" s="8"/>
    </row>
    <row r="368" spans="12:13" ht="14.5" x14ac:dyDescent="0.35">
      <c r="L368" s="4"/>
      <c r="M368" s="8"/>
    </row>
    <row r="369" spans="12:13" ht="14.5" x14ac:dyDescent="0.35">
      <c r="L369" s="4"/>
      <c r="M369" s="8"/>
    </row>
    <row r="370" spans="12:13" ht="14.5" x14ac:dyDescent="0.35">
      <c r="L370" s="4"/>
      <c r="M370" s="8"/>
    </row>
    <row r="371" spans="12:13" ht="14.5" x14ac:dyDescent="0.35">
      <c r="L371" s="4"/>
      <c r="M371" s="8"/>
    </row>
    <row r="372" spans="12:13" ht="14.5" x14ac:dyDescent="0.35">
      <c r="L372" s="4"/>
      <c r="M372" s="8"/>
    </row>
    <row r="373" spans="12:13" ht="14.5" x14ac:dyDescent="0.35">
      <c r="L373" s="4"/>
      <c r="M373" s="8"/>
    </row>
    <row r="374" spans="12:13" ht="14.5" x14ac:dyDescent="0.35">
      <c r="L374" s="4"/>
      <c r="M374" s="8"/>
    </row>
    <row r="375" spans="12:13" ht="14.5" x14ac:dyDescent="0.35">
      <c r="L375" s="4"/>
      <c r="M375" s="8"/>
    </row>
    <row r="376" spans="12:13" ht="14.5" x14ac:dyDescent="0.35">
      <c r="L376" s="4"/>
      <c r="M376" s="8"/>
    </row>
    <row r="377" spans="12:13" ht="14.5" x14ac:dyDescent="0.35">
      <c r="L377" s="4"/>
      <c r="M377" s="8"/>
    </row>
    <row r="378" spans="12:13" ht="14.5" x14ac:dyDescent="0.35">
      <c r="L378" s="4"/>
      <c r="M378" s="8"/>
    </row>
    <row r="379" spans="12:13" ht="14.5" x14ac:dyDescent="0.35">
      <c r="L379" s="4"/>
      <c r="M379" s="8"/>
    </row>
    <row r="380" spans="12:13" ht="14.5" x14ac:dyDescent="0.35">
      <c r="L380" s="4"/>
      <c r="M380" s="8"/>
    </row>
    <row r="381" spans="12:13" ht="14.5" x14ac:dyDescent="0.35">
      <c r="L381" s="4"/>
      <c r="M381" s="8"/>
    </row>
    <row r="382" spans="12:13" ht="14.5" x14ac:dyDescent="0.35">
      <c r="L382" s="4"/>
      <c r="M382" s="8"/>
    </row>
    <row r="383" spans="12:13" ht="14.5" x14ac:dyDescent="0.35">
      <c r="L383" s="4"/>
      <c r="M383" s="8"/>
    </row>
    <row r="384" spans="12:13" ht="14.5" x14ac:dyDescent="0.35">
      <c r="L384" s="4"/>
      <c r="M384" s="8"/>
    </row>
    <row r="385" spans="12:13" ht="14.5" x14ac:dyDescent="0.35">
      <c r="L385" s="4"/>
      <c r="M385" s="8"/>
    </row>
    <row r="386" spans="12:13" ht="14.5" x14ac:dyDescent="0.35">
      <c r="L386" s="4"/>
      <c r="M386" s="8"/>
    </row>
    <row r="387" spans="12:13" ht="14.5" x14ac:dyDescent="0.35">
      <c r="L387" s="4"/>
      <c r="M387" s="8"/>
    </row>
    <row r="388" spans="12:13" ht="14.5" x14ac:dyDescent="0.35">
      <c r="L388" s="4"/>
      <c r="M388" s="8"/>
    </row>
    <row r="389" spans="12:13" ht="14.5" x14ac:dyDescent="0.35">
      <c r="L389" s="4"/>
      <c r="M389" s="8"/>
    </row>
    <row r="390" spans="12:13" ht="14.5" x14ac:dyDescent="0.35">
      <c r="L390" s="4"/>
      <c r="M390" s="8"/>
    </row>
    <row r="391" spans="12:13" ht="14.5" x14ac:dyDescent="0.35">
      <c r="L391" s="4"/>
      <c r="M391" s="8"/>
    </row>
    <row r="392" spans="12:13" ht="14.5" x14ac:dyDescent="0.35">
      <c r="L392" s="4"/>
      <c r="M392" s="8"/>
    </row>
    <row r="393" spans="12:13" ht="14.5" x14ac:dyDescent="0.35">
      <c r="L393" s="4"/>
      <c r="M393" s="8"/>
    </row>
    <row r="394" spans="12:13" ht="14.5" x14ac:dyDescent="0.35">
      <c r="L394" s="4"/>
      <c r="M394" s="8"/>
    </row>
    <row r="395" spans="12:13" ht="14.5" x14ac:dyDescent="0.35">
      <c r="L395" s="4"/>
      <c r="M395" s="8"/>
    </row>
    <row r="396" spans="12:13" ht="14.5" x14ac:dyDescent="0.35">
      <c r="L396" s="4"/>
      <c r="M396" s="8"/>
    </row>
    <row r="397" spans="12:13" ht="14.5" x14ac:dyDescent="0.35">
      <c r="L397" s="4"/>
      <c r="M397" s="8"/>
    </row>
    <row r="398" spans="12:13" ht="14.5" x14ac:dyDescent="0.35">
      <c r="L398" s="4"/>
      <c r="M398" s="8"/>
    </row>
    <row r="399" spans="12:13" ht="14.5" x14ac:dyDescent="0.35">
      <c r="L399" s="4"/>
      <c r="M399" s="8"/>
    </row>
    <row r="400" spans="12:13" ht="14.5" x14ac:dyDescent="0.35">
      <c r="L400" s="4"/>
      <c r="M400" s="8"/>
    </row>
    <row r="401" spans="12:13" ht="14.5" x14ac:dyDescent="0.35">
      <c r="L401" s="4"/>
      <c r="M401" s="8"/>
    </row>
    <row r="402" spans="12:13" ht="14.5" x14ac:dyDescent="0.35">
      <c r="L402" s="4"/>
      <c r="M402" s="8"/>
    </row>
    <row r="403" spans="12:13" ht="14.5" x14ac:dyDescent="0.35">
      <c r="L403" s="4"/>
      <c r="M403" s="8"/>
    </row>
    <row r="404" spans="12:13" ht="14.5" x14ac:dyDescent="0.35">
      <c r="L404" s="4"/>
      <c r="M404" s="8"/>
    </row>
    <row r="405" spans="12:13" ht="14.5" x14ac:dyDescent="0.35">
      <c r="L405" s="4"/>
      <c r="M405" s="8"/>
    </row>
    <row r="406" spans="12:13" ht="14.5" x14ac:dyDescent="0.35">
      <c r="L406" s="4"/>
      <c r="M406" s="8"/>
    </row>
    <row r="407" spans="12:13" ht="14.5" x14ac:dyDescent="0.35">
      <c r="L407" s="4"/>
      <c r="M407" s="8"/>
    </row>
    <row r="408" spans="12:13" ht="14.5" x14ac:dyDescent="0.35">
      <c r="L408" s="4"/>
      <c r="M408" s="8"/>
    </row>
    <row r="409" spans="12:13" ht="14.5" x14ac:dyDescent="0.35">
      <c r="L409" s="4"/>
      <c r="M409" s="8"/>
    </row>
    <row r="410" spans="12:13" ht="14.5" x14ac:dyDescent="0.35">
      <c r="L410" s="4"/>
      <c r="M410" s="8"/>
    </row>
    <row r="411" spans="12:13" ht="14.5" x14ac:dyDescent="0.35">
      <c r="L411" s="4"/>
      <c r="M411" s="8"/>
    </row>
    <row r="412" spans="12:13" ht="14.5" x14ac:dyDescent="0.35">
      <c r="L412" s="4"/>
      <c r="M412" s="8"/>
    </row>
    <row r="413" spans="12:13" ht="14.5" x14ac:dyDescent="0.35">
      <c r="L413" s="4"/>
      <c r="M413" s="8"/>
    </row>
    <row r="414" spans="12:13" ht="14.5" x14ac:dyDescent="0.35">
      <c r="L414" s="4"/>
      <c r="M414" s="8"/>
    </row>
    <row r="415" spans="12:13" ht="14.5" x14ac:dyDescent="0.35">
      <c r="L415" s="4"/>
      <c r="M415" s="8"/>
    </row>
    <row r="416" spans="12:13" ht="14.5" x14ac:dyDescent="0.35">
      <c r="L416" s="4"/>
      <c r="M416" s="8"/>
    </row>
    <row r="417" spans="12:13" ht="14.5" x14ac:dyDescent="0.35">
      <c r="L417" s="4"/>
      <c r="M417" s="8"/>
    </row>
    <row r="418" spans="12:13" ht="14.5" x14ac:dyDescent="0.35">
      <c r="L418" s="4"/>
      <c r="M418" s="8"/>
    </row>
    <row r="419" spans="12:13" ht="14.5" x14ac:dyDescent="0.35">
      <c r="L419" s="4"/>
      <c r="M419" s="8"/>
    </row>
    <row r="420" spans="12:13" ht="14.5" x14ac:dyDescent="0.35">
      <c r="L420" s="4"/>
      <c r="M420" s="8"/>
    </row>
    <row r="421" spans="12:13" ht="14.5" x14ac:dyDescent="0.35">
      <c r="L421" s="4"/>
      <c r="M421" s="8"/>
    </row>
    <row r="422" spans="12:13" ht="14.5" x14ac:dyDescent="0.35">
      <c r="L422" s="4"/>
      <c r="M422" s="8"/>
    </row>
    <row r="423" spans="12:13" ht="14.5" x14ac:dyDescent="0.35">
      <c r="L423" s="4"/>
      <c r="M423" s="8"/>
    </row>
    <row r="424" spans="12:13" ht="14.5" x14ac:dyDescent="0.35">
      <c r="L424" s="4"/>
      <c r="M424" s="8"/>
    </row>
    <row r="425" spans="12:13" ht="14.5" x14ac:dyDescent="0.35">
      <c r="L425" s="4"/>
      <c r="M425" s="8"/>
    </row>
    <row r="426" spans="12:13" ht="14.5" x14ac:dyDescent="0.35">
      <c r="L426" s="4"/>
      <c r="M426" s="8"/>
    </row>
    <row r="427" spans="12:13" ht="14.5" x14ac:dyDescent="0.35">
      <c r="L427" s="4"/>
      <c r="M427" s="8"/>
    </row>
    <row r="428" spans="12:13" ht="14.5" x14ac:dyDescent="0.35">
      <c r="L428" s="4"/>
      <c r="M428" s="8"/>
    </row>
    <row r="429" spans="12:13" ht="14.5" x14ac:dyDescent="0.35">
      <c r="L429" s="4"/>
      <c r="M429" s="8"/>
    </row>
    <row r="430" spans="12:13" ht="14.5" x14ac:dyDescent="0.35">
      <c r="L430" s="4"/>
      <c r="M430" s="8"/>
    </row>
    <row r="431" spans="12:13" ht="14.5" x14ac:dyDescent="0.35">
      <c r="L431" s="4"/>
      <c r="M431" s="8"/>
    </row>
    <row r="432" spans="12:13" ht="14.5" x14ac:dyDescent="0.35">
      <c r="L432" s="4"/>
      <c r="M432" s="8"/>
    </row>
    <row r="433" spans="12:13" ht="14.5" x14ac:dyDescent="0.35">
      <c r="L433" s="4"/>
      <c r="M433" s="8"/>
    </row>
    <row r="434" spans="12:13" ht="14.5" x14ac:dyDescent="0.35">
      <c r="L434" s="4"/>
      <c r="M434" s="8"/>
    </row>
    <row r="435" spans="12:13" ht="14.5" x14ac:dyDescent="0.35">
      <c r="L435" s="4"/>
      <c r="M435" s="8"/>
    </row>
    <row r="436" spans="12:13" ht="14.5" x14ac:dyDescent="0.35">
      <c r="L436" s="4"/>
      <c r="M436" s="8"/>
    </row>
    <row r="437" spans="12:13" ht="14.5" x14ac:dyDescent="0.35">
      <c r="L437" s="4"/>
      <c r="M437" s="8"/>
    </row>
    <row r="438" spans="12:13" ht="14.5" x14ac:dyDescent="0.35">
      <c r="L438" s="4"/>
      <c r="M438" s="8"/>
    </row>
    <row r="439" spans="12:13" ht="14.5" x14ac:dyDescent="0.35">
      <c r="L439" s="4"/>
      <c r="M439" s="8"/>
    </row>
    <row r="440" spans="12:13" ht="14.5" x14ac:dyDescent="0.35">
      <c r="L440" s="4"/>
      <c r="M440" s="8"/>
    </row>
    <row r="441" spans="12:13" ht="14.5" x14ac:dyDescent="0.35">
      <c r="L441" s="4"/>
      <c r="M441" s="8"/>
    </row>
    <row r="442" spans="12:13" ht="14.5" x14ac:dyDescent="0.35">
      <c r="L442" s="4"/>
      <c r="M442" s="8"/>
    </row>
    <row r="443" spans="12:13" ht="14.5" x14ac:dyDescent="0.35">
      <c r="L443" s="4"/>
      <c r="M443" s="8"/>
    </row>
    <row r="444" spans="12:13" ht="14.5" x14ac:dyDescent="0.35">
      <c r="L444" s="4"/>
      <c r="M444" s="8"/>
    </row>
    <row r="445" spans="12:13" ht="14.5" x14ac:dyDescent="0.35">
      <c r="L445" s="4"/>
      <c r="M445" s="8"/>
    </row>
    <row r="446" spans="12:13" ht="14.5" x14ac:dyDescent="0.35">
      <c r="L446" s="4"/>
      <c r="M446" s="8"/>
    </row>
    <row r="447" spans="12:13" ht="14.5" x14ac:dyDescent="0.35">
      <c r="L447" s="4"/>
      <c r="M447" s="8"/>
    </row>
    <row r="448" spans="12:13" ht="14.5" x14ac:dyDescent="0.35">
      <c r="L448" s="4"/>
      <c r="M448" s="8"/>
    </row>
    <row r="449" spans="12:13" ht="14.5" x14ac:dyDescent="0.35">
      <c r="L449" s="4"/>
      <c r="M449" s="8"/>
    </row>
    <row r="450" spans="12:13" ht="14.5" x14ac:dyDescent="0.35">
      <c r="L450" s="4"/>
      <c r="M450" s="8"/>
    </row>
    <row r="451" spans="12:13" ht="14.5" x14ac:dyDescent="0.35">
      <c r="L451" s="4"/>
      <c r="M451" s="8"/>
    </row>
    <row r="452" spans="12:13" ht="14.5" x14ac:dyDescent="0.35">
      <c r="L452" s="4"/>
      <c r="M452" s="8"/>
    </row>
    <row r="453" spans="12:13" ht="14.5" x14ac:dyDescent="0.35">
      <c r="L453" s="4"/>
      <c r="M453" s="8"/>
    </row>
    <row r="454" spans="12:13" ht="14.5" x14ac:dyDescent="0.35">
      <c r="L454" s="4"/>
      <c r="M454" s="8"/>
    </row>
    <row r="455" spans="12:13" ht="14.5" x14ac:dyDescent="0.35">
      <c r="L455" s="4"/>
      <c r="M455" s="8"/>
    </row>
    <row r="456" spans="12:13" ht="14.5" x14ac:dyDescent="0.35">
      <c r="L456" s="4"/>
      <c r="M456" s="8"/>
    </row>
    <row r="457" spans="12:13" ht="14.5" x14ac:dyDescent="0.35">
      <c r="L457" s="4"/>
      <c r="M457" s="8"/>
    </row>
    <row r="458" spans="12:13" ht="14.5" x14ac:dyDescent="0.35">
      <c r="L458" s="4"/>
      <c r="M458" s="8"/>
    </row>
    <row r="459" spans="12:13" ht="14.5" x14ac:dyDescent="0.35">
      <c r="L459" s="4"/>
      <c r="M459" s="8"/>
    </row>
    <row r="460" spans="12:13" ht="14.5" x14ac:dyDescent="0.35">
      <c r="L460" s="4"/>
      <c r="M460" s="8"/>
    </row>
    <row r="461" spans="12:13" ht="14.5" x14ac:dyDescent="0.35">
      <c r="L461" s="4"/>
      <c r="M461" s="8"/>
    </row>
    <row r="462" spans="12:13" ht="14.5" x14ac:dyDescent="0.35">
      <c r="L462" s="4"/>
      <c r="M462" s="8"/>
    </row>
    <row r="463" spans="12:13" ht="14.5" x14ac:dyDescent="0.35">
      <c r="L463" s="4"/>
      <c r="M463" s="8"/>
    </row>
    <row r="464" spans="12:13" ht="14.5" x14ac:dyDescent="0.35">
      <c r="L464" s="4"/>
      <c r="M464" s="8"/>
    </row>
    <row r="465" spans="12:13" ht="14.5" x14ac:dyDescent="0.35">
      <c r="L465" s="4"/>
      <c r="M465" s="8"/>
    </row>
    <row r="466" spans="12:13" ht="14.5" x14ac:dyDescent="0.35">
      <c r="L466" s="4"/>
      <c r="M466" s="8"/>
    </row>
    <row r="467" spans="12:13" ht="14.5" x14ac:dyDescent="0.35">
      <c r="L467" s="4"/>
      <c r="M467" s="8"/>
    </row>
    <row r="468" spans="12:13" ht="14.5" x14ac:dyDescent="0.35">
      <c r="L468" s="4"/>
      <c r="M468" s="8"/>
    </row>
    <row r="469" spans="12:13" ht="14.5" x14ac:dyDescent="0.35">
      <c r="L469" s="4"/>
      <c r="M469" s="8"/>
    </row>
    <row r="470" spans="12:13" ht="14.5" x14ac:dyDescent="0.35">
      <c r="L470" s="4"/>
      <c r="M470" s="8"/>
    </row>
    <row r="471" spans="12:13" ht="14.5" x14ac:dyDescent="0.35">
      <c r="L471" s="4"/>
      <c r="M471" s="8"/>
    </row>
    <row r="472" spans="12:13" ht="14.5" x14ac:dyDescent="0.35">
      <c r="L472" s="4"/>
      <c r="M472" s="8"/>
    </row>
    <row r="473" spans="12:13" ht="14.5" x14ac:dyDescent="0.35">
      <c r="L473" s="4"/>
      <c r="M473" s="8"/>
    </row>
    <row r="474" spans="12:13" ht="14.5" x14ac:dyDescent="0.35">
      <c r="L474" s="4"/>
      <c r="M474" s="8"/>
    </row>
    <row r="475" spans="12:13" ht="14.5" x14ac:dyDescent="0.35">
      <c r="L475" s="4"/>
      <c r="M475" s="8"/>
    </row>
    <row r="476" spans="12:13" ht="14.5" x14ac:dyDescent="0.35">
      <c r="L476" s="4"/>
      <c r="M476" s="8"/>
    </row>
    <row r="477" spans="12:13" ht="14.5" x14ac:dyDescent="0.35">
      <c r="L477" s="4"/>
      <c r="M477" s="8"/>
    </row>
    <row r="478" spans="12:13" ht="14.5" x14ac:dyDescent="0.35">
      <c r="L478" s="4"/>
      <c r="M478" s="8"/>
    </row>
    <row r="479" spans="12:13" ht="14.5" x14ac:dyDescent="0.35">
      <c r="L479" s="4"/>
      <c r="M479" s="8"/>
    </row>
    <row r="480" spans="12:13" ht="14.5" x14ac:dyDescent="0.35">
      <c r="L480" s="4"/>
      <c r="M480" s="8"/>
    </row>
    <row r="481" spans="12:13" ht="14.5" x14ac:dyDescent="0.35">
      <c r="L481" s="4"/>
      <c r="M481" s="8"/>
    </row>
    <row r="482" spans="12:13" ht="14.5" x14ac:dyDescent="0.35">
      <c r="L482" s="4"/>
      <c r="M482" s="8"/>
    </row>
    <row r="483" spans="12:13" ht="14.5" x14ac:dyDescent="0.35">
      <c r="L483" s="4"/>
      <c r="M483" s="8"/>
    </row>
    <row r="484" spans="12:13" ht="14.5" x14ac:dyDescent="0.35">
      <c r="L484" s="4"/>
      <c r="M484" s="8"/>
    </row>
    <row r="485" spans="12:13" ht="14.5" x14ac:dyDescent="0.35">
      <c r="L485" s="4"/>
      <c r="M485" s="8"/>
    </row>
    <row r="486" spans="12:13" ht="14.5" x14ac:dyDescent="0.35">
      <c r="L486" s="4"/>
      <c r="M486" s="8"/>
    </row>
    <row r="487" spans="12:13" ht="14.5" x14ac:dyDescent="0.35">
      <c r="L487" s="4"/>
      <c r="M487" s="8"/>
    </row>
    <row r="488" spans="12:13" ht="14.5" x14ac:dyDescent="0.35">
      <c r="L488" s="4"/>
      <c r="M488" s="8"/>
    </row>
    <row r="489" spans="12:13" ht="14.5" x14ac:dyDescent="0.35">
      <c r="L489" s="4"/>
      <c r="M489" s="8"/>
    </row>
    <row r="490" spans="12:13" ht="14.5" x14ac:dyDescent="0.35">
      <c r="L490" s="4"/>
      <c r="M490" s="8"/>
    </row>
    <row r="491" spans="12:13" ht="14.5" x14ac:dyDescent="0.35">
      <c r="L491" s="4"/>
      <c r="M491" s="8"/>
    </row>
    <row r="492" spans="12:13" ht="14.5" x14ac:dyDescent="0.35">
      <c r="L492" s="4"/>
      <c r="M492" s="8"/>
    </row>
    <row r="493" spans="12:13" ht="14.5" x14ac:dyDescent="0.35">
      <c r="L493" s="4"/>
      <c r="M493" s="8"/>
    </row>
    <row r="494" spans="12:13" ht="14.5" x14ac:dyDescent="0.35">
      <c r="L494" s="4"/>
      <c r="M494" s="8"/>
    </row>
    <row r="495" spans="12:13" ht="14.5" x14ac:dyDescent="0.35">
      <c r="L495" s="4"/>
      <c r="M495" s="8"/>
    </row>
    <row r="496" spans="12:13" ht="14.5" x14ac:dyDescent="0.35">
      <c r="L496" s="4"/>
      <c r="M496" s="8"/>
    </row>
    <row r="497" spans="12:13" ht="14.5" x14ac:dyDescent="0.35">
      <c r="L497" s="4"/>
      <c r="M497" s="8"/>
    </row>
    <row r="498" spans="12:13" ht="14.5" x14ac:dyDescent="0.35">
      <c r="L498" s="4"/>
      <c r="M498" s="8"/>
    </row>
    <row r="499" spans="12:13" ht="14.5" x14ac:dyDescent="0.35">
      <c r="L499" s="4"/>
      <c r="M499" s="8"/>
    </row>
    <row r="500" spans="12:13" ht="14.5" x14ac:dyDescent="0.35">
      <c r="L500" s="4"/>
      <c r="M500" s="8"/>
    </row>
    <row r="501" spans="12:13" ht="14.5" x14ac:dyDescent="0.35">
      <c r="L501" s="4"/>
      <c r="M501" s="8"/>
    </row>
    <row r="502" spans="12:13" ht="14.5" x14ac:dyDescent="0.35">
      <c r="L502" s="4"/>
      <c r="M502" s="8"/>
    </row>
    <row r="503" spans="12:13" ht="14.5" x14ac:dyDescent="0.35">
      <c r="L503" s="4"/>
      <c r="M503" s="8"/>
    </row>
    <row r="504" spans="12:13" ht="14.5" x14ac:dyDescent="0.35">
      <c r="L504" s="4"/>
      <c r="M504" s="8"/>
    </row>
    <row r="505" spans="12:13" ht="14.5" x14ac:dyDescent="0.35">
      <c r="L505" s="4"/>
      <c r="M505" s="8"/>
    </row>
    <row r="506" spans="12:13" ht="14.5" x14ac:dyDescent="0.35">
      <c r="L506" s="4"/>
      <c r="M506" s="8"/>
    </row>
    <row r="507" spans="12:13" ht="14.5" x14ac:dyDescent="0.35">
      <c r="L507" s="4"/>
      <c r="M507" s="8"/>
    </row>
    <row r="508" spans="12:13" ht="14.5" x14ac:dyDescent="0.35">
      <c r="L508" s="4"/>
      <c r="M508" s="8"/>
    </row>
    <row r="509" spans="12:13" ht="14.5" x14ac:dyDescent="0.35">
      <c r="L509" s="4"/>
      <c r="M509" s="8"/>
    </row>
    <row r="510" spans="12:13" ht="14.5" x14ac:dyDescent="0.35">
      <c r="L510" s="4"/>
      <c r="M510" s="8"/>
    </row>
    <row r="511" spans="12:13" ht="14.5" x14ac:dyDescent="0.35">
      <c r="L511" s="4"/>
      <c r="M511" s="8"/>
    </row>
    <row r="512" spans="12:13" ht="14.5" x14ac:dyDescent="0.35">
      <c r="L512" s="4"/>
      <c r="M512" s="8"/>
    </row>
    <row r="513" spans="12:13" ht="14.5" x14ac:dyDescent="0.35">
      <c r="L513" s="4"/>
      <c r="M513" s="8"/>
    </row>
    <row r="514" spans="12:13" ht="14.5" x14ac:dyDescent="0.35">
      <c r="L514" s="4"/>
      <c r="M514" s="8"/>
    </row>
    <row r="515" spans="12:13" ht="14.5" x14ac:dyDescent="0.35">
      <c r="L515" s="4"/>
      <c r="M515" s="8"/>
    </row>
    <row r="516" spans="12:13" ht="14.5" x14ac:dyDescent="0.35">
      <c r="L516" s="4"/>
      <c r="M516" s="8"/>
    </row>
    <row r="517" spans="12:13" ht="14.5" x14ac:dyDescent="0.35">
      <c r="L517" s="4"/>
      <c r="M517" s="8"/>
    </row>
    <row r="518" spans="12:13" ht="14.5" x14ac:dyDescent="0.35">
      <c r="L518" s="4"/>
      <c r="M518" s="8"/>
    </row>
    <row r="519" spans="12:13" ht="14.5" x14ac:dyDescent="0.35">
      <c r="L519" s="4"/>
      <c r="M519" s="8"/>
    </row>
    <row r="520" spans="12:13" ht="14.5" x14ac:dyDescent="0.35">
      <c r="L520" s="4"/>
      <c r="M520" s="8"/>
    </row>
    <row r="521" spans="12:13" ht="14.5" x14ac:dyDescent="0.35">
      <c r="L521" s="4"/>
      <c r="M521" s="8"/>
    </row>
    <row r="522" spans="12:13" ht="14.5" x14ac:dyDescent="0.35">
      <c r="L522" s="4"/>
      <c r="M522" s="8"/>
    </row>
    <row r="523" spans="12:13" ht="14.5" x14ac:dyDescent="0.35">
      <c r="L523" s="4"/>
      <c r="M523" s="8"/>
    </row>
    <row r="524" spans="12:13" ht="14.5" x14ac:dyDescent="0.35">
      <c r="L524" s="4"/>
      <c r="M524" s="8"/>
    </row>
    <row r="525" spans="12:13" ht="14.5" x14ac:dyDescent="0.35">
      <c r="L525" s="4"/>
      <c r="M525" s="8"/>
    </row>
    <row r="526" spans="12:13" ht="14.5" x14ac:dyDescent="0.35">
      <c r="L526" s="4"/>
      <c r="M526" s="8"/>
    </row>
    <row r="527" spans="12:13" ht="14.5" x14ac:dyDescent="0.35">
      <c r="L527" s="4"/>
      <c r="M527" s="8"/>
    </row>
    <row r="528" spans="12:13" ht="14.5" x14ac:dyDescent="0.35">
      <c r="L528" s="4"/>
      <c r="M528" s="8"/>
    </row>
    <row r="529" spans="12:13" ht="14.5" x14ac:dyDescent="0.35">
      <c r="L529" s="4"/>
      <c r="M529" s="8"/>
    </row>
    <row r="530" spans="12:13" ht="14.5" x14ac:dyDescent="0.35">
      <c r="L530" s="4"/>
      <c r="M530" s="8"/>
    </row>
    <row r="531" spans="12:13" ht="14.5" x14ac:dyDescent="0.35">
      <c r="L531" s="4"/>
      <c r="M531" s="8"/>
    </row>
    <row r="532" spans="12:13" ht="14.5" x14ac:dyDescent="0.35">
      <c r="L532" s="4"/>
      <c r="M532" s="8"/>
    </row>
    <row r="533" spans="12:13" ht="14.5" x14ac:dyDescent="0.35">
      <c r="L533" s="4"/>
      <c r="M533" s="8"/>
    </row>
    <row r="534" spans="12:13" ht="14.5" x14ac:dyDescent="0.35">
      <c r="L534" s="4"/>
      <c r="M534" s="8"/>
    </row>
    <row r="535" spans="12:13" ht="14.5" x14ac:dyDescent="0.35">
      <c r="L535" s="4"/>
      <c r="M535" s="8"/>
    </row>
    <row r="536" spans="12:13" ht="14.5" x14ac:dyDescent="0.35">
      <c r="L536" s="4"/>
      <c r="M536" s="8"/>
    </row>
    <row r="537" spans="12:13" ht="14.5" x14ac:dyDescent="0.35">
      <c r="L537" s="4"/>
      <c r="M537" s="8"/>
    </row>
    <row r="538" spans="12:13" ht="14.5" x14ac:dyDescent="0.35">
      <c r="L538" s="4"/>
      <c r="M538" s="8"/>
    </row>
    <row r="539" spans="12:13" ht="14.5" x14ac:dyDescent="0.35">
      <c r="L539" s="4"/>
      <c r="M539" s="8"/>
    </row>
    <row r="540" spans="12:13" ht="14.5" x14ac:dyDescent="0.35">
      <c r="L540" s="4"/>
      <c r="M540" s="8"/>
    </row>
    <row r="541" spans="12:13" ht="14.5" x14ac:dyDescent="0.35">
      <c r="L541" s="4"/>
      <c r="M541" s="8"/>
    </row>
    <row r="542" spans="12:13" ht="14.5" x14ac:dyDescent="0.35">
      <c r="L542" s="4"/>
      <c r="M542" s="8"/>
    </row>
    <row r="543" spans="12:13" ht="14.5" x14ac:dyDescent="0.35">
      <c r="L543" s="4"/>
      <c r="M543" s="8"/>
    </row>
    <row r="544" spans="12:13" ht="14.5" x14ac:dyDescent="0.35">
      <c r="L544" s="4"/>
      <c r="M544" s="8"/>
    </row>
    <row r="545" spans="12:13" ht="14.5" x14ac:dyDescent="0.35">
      <c r="L545" s="4"/>
      <c r="M545" s="8"/>
    </row>
    <row r="546" spans="12:13" ht="14.5" x14ac:dyDescent="0.35">
      <c r="L546" s="4"/>
      <c r="M546" s="8"/>
    </row>
    <row r="547" spans="12:13" ht="14.5" x14ac:dyDescent="0.35">
      <c r="L547" s="4"/>
      <c r="M547" s="8"/>
    </row>
    <row r="548" spans="12:13" ht="14.5" x14ac:dyDescent="0.35">
      <c r="L548" s="4"/>
      <c r="M548" s="8"/>
    </row>
    <row r="549" spans="12:13" ht="14.5" x14ac:dyDescent="0.35">
      <c r="L549" s="4"/>
      <c r="M549" s="8"/>
    </row>
    <row r="550" spans="12:13" ht="14.5" x14ac:dyDescent="0.35">
      <c r="L550" s="4"/>
      <c r="M550" s="8"/>
    </row>
    <row r="551" spans="12:13" ht="14.5" x14ac:dyDescent="0.35">
      <c r="L551" s="4"/>
      <c r="M551" s="8"/>
    </row>
    <row r="552" spans="12:13" ht="14.5" x14ac:dyDescent="0.35">
      <c r="L552" s="4"/>
      <c r="M552" s="8"/>
    </row>
    <row r="553" spans="12:13" ht="14.5" x14ac:dyDescent="0.35">
      <c r="L553" s="4"/>
      <c r="M553" s="8"/>
    </row>
    <row r="554" spans="12:13" ht="14.5" x14ac:dyDescent="0.35">
      <c r="L554" s="4"/>
      <c r="M554" s="8"/>
    </row>
    <row r="555" spans="12:13" ht="14.5" x14ac:dyDescent="0.35">
      <c r="L555" s="4"/>
      <c r="M555" s="8"/>
    </row>
    <row r="556" spans="12:13" ht="14.5" x14ac:dyDescent="0.35">
      <c r="L556" s="4"/>
      <c r="M556" s="8"/>
    </row>
    <row r="557" spans="12:13" ht="14.5" x14ac:dyDescent="0.35">
      <c r="L557" s="4"/>
      <c r="M557" s="8"/>
    </row>
    <row r="558" spans="12:13" ht="14.5" x14ac:dyDescent="0.35">
      <c r="L558" s="4"/>
      <c r="M558" s="8"/>
    </row>
    <row r="559" spans="12:13" ht="14.5" x14ac:dyDescent="0.35">
      <c r="L559" s="4"/>
      <c r="M559" s="8"/>
    </row>
    <row r="560" spans="12:13" ht="14.5" x14ac:dyDescent="0.35">
      <c r="L560" s="4"/>
      <c r="M560" s="8"/>
    </row>
    <row r="561" spans="12:13" ht="14.5" x14ac:dyDescent="0.35">
      <c r="L561" s="4"/>
      <c r="M561" s="8"/>
    </row>
    <row r="562" spans="12:13" ht="14.5" x14ac:dyDescent="0.35">
      <c r="L562" s="4"/>
      <c r="M562" s="8"/>
    </row>
    <row r="563" spans="12:13" ht="14.5" x14ac:dyDescent="0.35">
      <c r="L563" s="4"/>
      <c r="M563" s="8"/>
    </row>
    <row r="564" spans="12:13" ht="14.5" x14ac:dyDescent="0.35">
      <c r="L564" s="4"/>
      <c r="M564" s="8"/>
    </row>
    <row r="565" spans="12:13" ht="14.5" x14ac:dyDescent="0.35">
      <c r="L565" s="4"/>
      <c r="M565" s="8"/>
    </row>
    <row r="566" spans="12:13" ht="14.5" x14ac:dyDescent="0.35">
      <c r="L566" s="4"/>
      <c r="M566" s="8"/>
    </row>
    <row r="567" spans="12:13" ht="14.5" x14ac:dyDescent="0.35">
      <c r="L567" s="4"/>
      <c r="M567" s="8"/>
    </row>
    <row r="568" spans="12:13" ht="14.5" x14ac:dyDescent="0.35">
      <c r="L568" s="4"/>
      <c r="M568" s="8"/>
    </row>
    <row r="569" spans="12:13" ht="14.5" x14ac:dyDescent="0.35">
      <c r="L569" s="4"/>
      <c r="M569" s="8"/>
    </row>
    <row r="570" spans="12:13" ht="14.5" x14ac:dyDescent="0.35">
      <c r="L570" s="4"/>
      <c r="M570" s="8"/>
    </row>
    <row r="571" spans="12:13" ht="14.5" x14ac:dyDescent="0.35">
      <c r="L571" s="4"/>
      <c r="M571" s="8"/>
    </row>
    <row r="572" spans="12:13" ht="14.5" x14ac:dyDescent="0.35">
      <c r="L572" s="4"/>
      <c r="M572" s="8"/>
    </row>
    <row r="573" spans="12:13" ht="14.5" x14ac:dyDescent="0.35">
      <c r="L573" s="4"/>
      <c r="M573" s="8"/>
    </row>
    <row r="574" spans="12:13" ht="14.5" x14ac:dyDescent="0.35">
      <c r="L574" s="4"/>
      <c r="M574" s="8"/>
    </row>
    <row r="575" spans="12:13" ht="14.5" x14ac:dyDescent="0.35">
      <c r="L575" s="4"/>
      <c r="M575" s="8"/>
    </row>
    <row r="576" spans="12:13" ht="14.5" x14ac:dyDescent="0.35">
      <c r="L576" s="4"/>
      <c r="M576" s="8"/>
    </row>
    <row r="577" spans="12:13" ht="14.5" x14ac:dyDescent="0.35">
      <c r="L577" s="4"/>
      <c r="M577" s="8"/>
    </row>
    <row r="578" spans="12:13" ht="14.5" x14ac:dyDescent="0.35">
      <c r="L578" s="4"/>
      <c r="M578" s="8"/>
    </row>
    <row r="579" spans="12:13" ht="14.5" x14ac:dyDescent="0.35">
      <c r="L579" s="4"/>
      <c r="M579" s="8"/>
    </row>
    <row r="580" spans="12:13" ht="14.5" x14ac:dyDescent="0.35">
      <c r="L580" s="4"/>
      <c r="M580" s="8"/>
    </row>
    <row r="581" spans="12:13" ht="14.5" x14ac:dyDescent="0.35">
      <c r="L581" s="4"/>
      <c r="M581" s="8"/>
    </row>
    <row r="582" spans="12:13" ht="14.5" x14ac:dyDescent="0.35">
      <c r="L582" s="4"/>
      <c r="M582" s="8"/>
    </row>
    <row r="583" spans="12:13" ht="14.5" x14ac:dyDescent="0.35">
      <c r="L583" s="4"/>
      <c r="M583" s="8"/>
    </row>
    <row r="584" spans="12:13" ht="14.5" x14ac:dyDescent="0.35">
      <c r="L584" s="4"/>
      <c r="M584" s="8"/>
    </row>
    <row r="585" spans="12:13" ht="14.5" x14ac:dyDescent="0.35">
      <c r="L585" s="4"/>
      <c r="M585" s="8"/>
    </row>
    <row r="586" spans="12:13" ht="14.5" x14ac:dyDescent="0.35">
      <c r="L586" s="4"/>
      <c r="M586" s="8"/>
    </row>
    <row r="587" spans="12:13" ht="14.5" x14ac:dyDescent="0.35">
      <c r="L587" s="4"/>
      <c r="M587" s="8"/>
    </row>
    <row r="588" spans="12:13" ht="14.5" x14ac:dyDescent="0.35">
      <c r="L588" s="4"/>
      <c r="M588" s="8"/>
    </row>
    <row r="589" spans="12:13" ht="14.5" x14ac:dyDescent="0.35">
      <c r="L589" s="4"/>
      <c r="M589" s="8"/>
    </row>
    <row r="590" spans="12:13" ht="14.5" x14ac:dyDescent="0.35">
      <c r="L590" s="4"/>
      <c r="M590" s="8"/>
    </row>
    <row r="591" spans="12:13" ht="14.5" x14ac:dyDescent="0.35">
      <c r="L591" s="4"/>
      <c r="M591" s="8"/>
    </row>
    <row r="592" spans="12:13" ht="14.5" x14ac:dyDescent="0.35">
      <c r="L592" s="4"/>
      <c r="M592" s="8"/>
    </row>
    <row r="593" spans="12:13" ht="14.5" x14ac:dyDescent="0.35">
      <c r="L593" s="4"/>
      <c r="M593" s="8"/>
    </row>
    <row r="594" spans="12:13" ht="14.5" x14ac:dyDescent="0.35">
      <c r="L594" s="4"/>
      <c r="M594" s="8"/>
    </row>
    <row r="595" spans="12:13" ht="14.5" x14ac:dyDescent="0.35">
      <c r="L595" s="4"/>
      <c r="M595" s="8"/>
    </row>
    <row r="596" spans="12:13" ht="14.5" x14ac:dyDescent="0.35">
      <c r="L596" s="4"/>
      <c r="M596" s="8"/>
    </row>
    <row r="597" spans="12:13" ht="14.5" x14ac:dyDescent="0.35">
      <c r="L597" s="4"/>
      <c r="M597" s="8"/>
    </row>
    <row r="598" spans="12:13" ht="14.5" x14ac:dyDescent="0.35">
      <c r="L598" s="4"/>
      <c r="M598" s="8"/>
    </row>
    <row r="599" spans="12:13" ht="14.5" x14ac:dyDescent="0.35">
      <c r="L599" s="4"/>
      <c r="M599" s="8"/>
    </row>
    <row r="600" spans="12:13" ht="14.5" x14ac:dyDescent="0.35">
      <c r="L600" s="4"/>
      <c r="M600" s="8"/>
    </row>
    <row r="601" spans="12:13" ht="14.5" x14ac:dyDescent="0.35">
      <c r="L601" s="4"/>
      <c r="M601" s="8"/>
    </row>
    <row r="602" spans="12:13" ht="14.5" x14ac:dyDescent="0.35">
      <c r="L602" s="4"/>
      <c r="M602" s="8"/>
    </row>
    <row r="603" spans="12:13" ht="14.5" x14ac:dyDescent="0.35">
      <c r="L603" s="4"/>
      <c r="M603" s="8"/>
    </row>
    <row r="604" spans="12:13" ht="14.5" x14ac:dyDescent="0.35">
      <c r="L604" s="4"/>
      <c r="M604" s="8"/>
    </row>
    <row r="605" spans="12:13" ht="14.5" x14ac:dyDescent="0.35">
      <c r="L605" s="4"/>
      <c r="M605" s="8"/>
    </row>
    <row r="606" spans="12:13" ht="14.5" x14ac:dyDescent="0.35">
      <c r="L606" s="4"/>
      <c r="M606" s="8"/>
    </row>
    <row r="607" spans="12:13" ht="14.5" x14ac:dyDescent="0.35">
      <c r="L607" s="4"/>
      <c r="M607" s="8"/>
    </row>
    <row r="608" spans="12:13" ht="14.5" x14ac:dyDescent="0.35">
      <c r="L608" s="4"/>
      <c r="M608" s="8"/>
    </row>
    <row r="609" spans="12:13" ht="14.5" x14ac:dyDescent="0.35">
      <c r="L609" s="4"/>
      <c r="M609" s="8"/>
    </row>
    <row r="610" spans="12:13" ht="14.5" x14ac:dyDescent="0.35">
      <c r="L610" s="4"/>
      <c r="M610" s="8"/>
    </row>
    <row r="611" spans="12:13" ht="14.5" x14ac:dyDescent="0.35">
      <c r="L611" s="4"/>
      <c r="M611" s="8"/>
    </row>
    <row r="612" spans="12:13" ht="14.5" x14ac:dyDescent="0.35">
      <c r="L612" s="4"/>
      <c r="M612" s="8"/>
    </row>
    <row r="613" spans="12:13" ht="14.5" x14ac:dyDescent="0.35">
      <c r="L613" s="4"/>
      <c r="M613" s="8"/>
    </row>
    <row r="614" spans="12:13" ht="14.5" x14ac:dyDescent="0.35">
      <c r="L614" s="4"/>
      <c r="M614" s="8"/>
    </row>
    <row r="615" spans="12:13" ht="14.5" x14ac:dyDescent="0.35">
      <c r="L615" s="4"/>
      <c r="M615" s="8"/>
    </row>
    <row r="616" spans="12:13" ht="14.5" x14ac:dyDescent="0.35">
      <c r="L616" s="4"/>
      <c r="M616" s="8"/>
    </row>
    <row r="617" spans="12:13" ht="14.5" x14ac:dyDescent="0.35">
      <c r="L617" s="4"/>
      <c r="M617" s="8"/>
    </row>
    <row r="618" spans="12:13" ht="14.5" x14ac:dyDescent="0.35">
      <c r="L618" s="4"/>
      <c r="M618" s="8"/>
    </row>
    <row r="619" spans="12:13" ht="14.5" x14ac:dyDescent="0.35">
      <c r="L619" s="4"/>
      <c r="M619" s="8"/>
    </row>
    <row r="620" spans="12:13" ht="14.5" x14ac:dyDescent="0.35">
      <c r="L620" s="4"/>
      <c r="M620" s="8"/>
    </row>
    <row r="621" spans="12:13" ht="14.5" x14ac:dyDescent="0.35">
      <c r="L621" s="4"/>
      <c r="M621" s="8"/>
    </row>
    <row r="622" spans="12:13" ht="14.5" x14ac:dyDescent="0.35">
      <c r="L622" s="4"/>
      <c r="M622" s="8"/>
    </row>
    <row r="623" spans="12:13" ht="14.5" x14ac:dyDescent="0.35">
      <c r="L623" s="4"/>
      <c r="M623" s="8"/>
    </row>
    <row r="624" spans="12:13" ht="14.5" x14ac:dyDescent="0.35">
      <c r="L624" s="4"/>
      <c r="M624" s="8"/>
    </row>
    <row r="625" spans="12:13" ht="14.5" x14ac:dyDescent="0.35">
      <c r="L625" s="4"/>
      <c r="M625" s="8"/>
    </row>
    <row r="626" spans="12:13" ht="14.5" x14ac:dyDescent="0.35">
      <c r="L626" s="4"/>
      <c r="M626" s="8"/>
    </row>
    <row r="627" spans="12:13" ht="14.5" x14ac:dyDescent="0.35">
      <c r="L627" s="4"/>
      <c r="M627" s="8"/>
    </row>
    <row r="628" spans="12:13" ht="14.5" x14ac:dyDescent="0.35">
      <c r="L628" s="4"/>
      <c r="M628" s="8"/>
    </row>
    <row r="629" spans="12:13" ht="14.5" x14ac:dyDescent="0.35">
      <c r="L629" s="4"/>
      <c r="M629" s="8"/>
    </row>
    <row r="630" spans="12:13" ht="14.5" x14ac:dyDescent="0.35">
      <c r="L630" s="4"/>
      <c r="M630" s="8"/>
    </row>
    <row r="631" spans="12:13" ht="14.5" x14ac:dyDescent="0.35">
      <c r="L631" s="4"/>
      <c r="M631" s="8"/>
    </row>
    <row r="632" spans="12:13" ht="14.5" x14ac:dyDescent="0.35">
      <c r="L632" s="4"/>
      <c r="M632" s="8"/>
    </row>
    <row r="633" spans="12:13" ht="14.5" x14ac:dyDescent="0.35">
      <c r="L633" s="4"/>
      <c r="M633" s="8"/>
    </row>
    <row r="634" spans="12:13" ht="14.5" x14ac:dyDescent="0.35">
      <c r="L634" s="4"/>
      <c r="M634" s="8"/>
    </row>
    <row r="635" spans="12:13" ht="14.5" x14ac:dyDescent="0.35">
      <c r="L635" s="4"/>
      <c r="M635" s="8"/>
    </row>
    <row r="636" spans="12:13" ht="14.5" x14ac:dyDescent="0.35">
      <c r="L636" s="4"/>
      <c r="M636" s="8"/>
    </row>
    <row r="637" spans="12:13" ht="14.5" x14ac:dyDescent="0.35">
      <c r="L637" s="4"/>
      <c r="M637" s="8"/>
    </row>
    <row r="638" spans="12:13" ht="14.5" x14ac:dyDescent="0.35">
      <c r="L638" s="4"/>
      <c r="M638" s="8"/>
    </row>
    <row r="639" spans="12:13" ht="14.5" x14ac:dyDescent="0.35">
      <c r="L639" s="4"/>
      <c r="M639" s="8"/>
    </row>
    <row r="640" spans="12:13" ht="14.5" x14ac:dyDescent="0.35">
      <c r="L640" s="4"/>
      <c r="M640" s="8"/>
    </row>
    <row r="641" spans="12:13" ht="14.5" x14ac:dyDescent="0.35">
      <c r="L641" s="4"/>
      <c r="M641" s="8"/>
    </row>
    <row r="642" spans="12:13" ht="14.5" x14ac:dyDescent="0.35">
      <c r="L642" s="4"/>
      <c r="M642" s="8"/>
    </row>
    <row r="643" spans="12:13" ht="14.5" x14ac:dyDescent="0.35">
      <c r="L643" s="4"/>
      <c r="M643" s="8"/>
    </row>
    <row r="644" spans="12:13" ht="14.5" x14ac:dyDescent="0.35">
      <c r="L644" s="4"/>
      <c r="M644" s="8"/>
    </row>
    <row r="645" spans="12:13" ht="14.5" x14ac:dyDescent="0.35">
      <c r="L645" s="4"/>
      <c r="M645" s="8"/>
    </row>
    <row r="646" spans="12:13" ht="14.5" x14ac:dyDescent="0.35">
      <c r="L646" s="4"/>
      <c r="M646" s="8"/>
    </row>
    <row r="647" spans="12:13" ht="14.5" x14ac:dyDescent="0.35">
      <c r="L647" s="4"/>
      <c r="M647" s="8"/>
    </row>
    <row r="648" spans="12:13" ht="14.5" x14ac:dyDescent="0.35">
      <c r="L648" s="4"/>
      <c r="M648" s="8"/>
    </row>
    <row r="649" spans="12:13" ht="14.5" x14ac:dyDescent="0.35">
      <c r="L649" s="4"/>
      <c r="M649" s="8"/>
    </row>
    <row r="650" spans="12:13" ht="14.5" x14ac:dyDescent="0.35">
      <c r="L650" s="4"/>
      <c r="M650" s="8"/>
    </row>
    <row r="651" spans="12:13" ht="14.5" x14ac:dyDescent="0.35">
      <c r="L651" s="4"/>
      <c r="M651" s="8"/>
    </row>
    <row r="652" spans="12:13" ht="14.5" x14ac:dyDescent="0.35">
      <c r="L652" s="4"/>
      <c r="M652" s="8"/>
    </row>
    <row r="653" spans="12:13" ht="14.5" x14ac:dyDescent="0.35">
      <c r="L653" s="4"/>
      <c r="M653" s="8"/>
    </row>
    <row r="654" spans="12:13" ht="14.5" x14ac:dyDescent="0.35">
      <c r="L654" s="4"/>
      <c r="M654" s="8"/>
    </row>
    <row r="655" spans="12:13" ht="14.5" x14ac:dyDescent="0.35">
      <c r="L655" s="4"/>
      <c r="M655" s="8"/>
    </row>
    <row r="656" spans="12:13" ht="14.5" x14ac:dyDescent="0.35">
      <c r="L656" s="4"/>
      <c r="M656" s="8"/>
    </row>
    <row r="657" spans="12:13" ht="14.5" x14ac:dyDescent="0.35">
      <c r="L657" s="4"/>
      <c r="M657" s="8"/>
    </row>
    <row r="658" spans="12:13" ht="14.5" x14ac:dyDescent="0.35">
      <c r="L658" s="4"/>
      <c r="M658" s="8"/>
    </row>
    <row r="659" spans="12:13" ht="14.5" x14ac:dyDescent="0.35">
      <c r="L659" s="4"/>
      <c r="M659" s="8"/>
    </row>
    <row r="660" spans="12:13" ht="14.5" x14ac:dyDescent="0.35">
      <c r="L660" s="4"/>
      <c r="M660" s="8"/>
    </row>
    <row r="661" spans="12:13" ht="14.5" x14ac:dyDescent="0.35">
      <c r="L661" s="4"/>
      <c r="M661" s="8"/>
    </row>
    <row r="662" spans="12:13" ht="14.5" x14ac:dyDescent="0.35">
      <c r="L662" s="4"/>
      <c r="M662" s="8"/>
    </row>
    <row r="663" spans="12:13" ht="14.5" x14ac:dyDescent="0.35">
      <c r="L663" s="4"/>
      <c r="M663" s="8"/>
    </row>
    <row r="664" spans="12:13" ht="14.5" x14ac:dyDescent="0.35">
      <c r="L664" s="4"/>
      <c r="M664" s="8"/>
    </row>
    <row r="665" spans="12:13" ht="14.5" x14ac:dyDescent="0.35">
      <c r="L665" s="4"/>
      <c r="M665" s="8"/>
    </row>
    <row r="666" spans="12:13" ht="14.5" x14ac:dyDescent="0.35">
      <c r="L666" s="4"/>
      <c r="M666" s="8"/>
    </row>
    <row r="667" spans="12:13" ht="14.5" x14ac:dyDescent="0.35">
      <c r="L667" s="4"/>
      <c r="M667" s="8"/>
    </row>
    <row r="668" spans="12:13" ht="14.5" x14ac:dyDescent="0.35">
      <c r="L668" s="4"/>
      <c r="M668" s="8"/>
    </row>
    <row r="669" spans="12:13" ht="14.5" x14ac:dyDescent="0.35">
      <c r="L669" s="4"/>
      <c r="M669" s="8"/>
    </row>
    <row r="670" spans="12:13" ht="14.5" x14ac:dyDescent="0.35">
      <c r="L670" s="4"/>
      <c r="M670" s="8"/>
    </row>
    <row r="671" spans="12:13" ht="14.5" x14ac:dyDescent="0.35">
      <c r="L671" s="4"/>
      <c r="M671" s="8"/>
    </row>
    <row r="672" spans="12:13" ht="14.5" x14ac:dyDescent="0.35">
      <c r="L672" s="4"/>
      <c r="M672" s="8"/>
    </row>
    <row r="673" spans="12:13" ht="14.5" x14ac:dyDescent="0.35">
      <c r="L673" s="4"/>
      <c r="M673" s="8"/>
    </row>
    <row r="674" spans="12:13" ht="14.5" x14ac:dyDescent="0.35">
      <c r="L674" s="4"/>
      <c r="M674" s="8"/>
    </row>
    <row r="675" spans="12:13" ht="14.5" x14ac:dyDescent="0.35">
      <c r="L675" s="4"/>
      <c r="M675" s="8"/>
    </row>
    <row r="676" spans="12:13" ht="14.5" x14ac:dyDescent="0.35">
      <c r="L676" s="4"/>
      <c r="M676" s="8"/>
    </row>
    <row r="677" spans="12:13" ht="14.5" x14ac:dyDescent="0.35">
      <c r="L677" s="4"/>
      <c r="M677" s="8"/>
    </row>
    <row r="678" spans="12:13" ht="14.5" x14ac:dyDescent="0.35">
      <c r="L678" s="4"/>
      <c r="M678" s="8"/>
    </row>
    <row r="679" spans="12:13" ht="14.5" x14ac:dyDescent="0.35">
      <c r="L679" s="4"/>
      <c r="M679" s="8"/>
    </row>
    <row r="680" spans="12:13" ht="14.5" x14ac:dyDescent="0.35">
      <c r="L680" s="4"/>
      <c r="M680" s="8"/>
    </row>
    <row r="681" spans="12:13" ht="14.5" x14ac:dyDescent="0.35">
      <c r="L681" s="4"/>
      <c r="M681" s="8"/>
    </row>
    <row r="682" spans="12:13" ht="14.5" x14ac:dyDescent="0.35">
      <c r="L682" s="4"/>
      <c r="M682" s="8"/>
    </row>
    <row r="683" spans="12:13" ht="14.5" x14ac:dyDescent="0.35">
      <c r="L683" s="4"/>
      <c r="M683" s="8"/>
    </row>
    <row r="684" spans="12:13" ht="14.5" x14ac:dyDescent="0.35">
      <c r="L684" s="4"/>
      <c r="M684" s="8"/>
    </row>
    <row r="685" spans="12:13" ht="14.5" x14ac:dyDescent="0.35">
      <c r="L685" s="4"/>
      <c r="M685" s="8"/>
    </row>
    <row r="686" spans="12:13" ht="14.5" x14ac:dyDescent="0.35">
      <c r="L686" s="4"/>
      <c r="M686" s="8"/>
    </row>
    <row r="687" spans="12:13" ht="14.5" x14ac:dyDescent="0.35">
      <c r="L687" s="4"/>
      <c r="M687" s="8"/>
    </row>
    <row r="688" spans="12:13" ht="14.5" x14ac:dyDescent="0.35">
      <c r="L688" s="4"/>
      <c r="M688" s="8"/>
    </row>
    <row r="689" spans="12:13" ht="14.5" x14ac:dyDescent="0.35">
      <c r="L689" s="4"/>
      <c r="M689" s="8"/>
    </row>
    <row r="690" spans="12:13" ht="14.5" x14ac:dyDescent="0.35">
      <c r="L690" s="4"/>
      <c r="M690" s="8"/>
    </row>
    <row r="691" spans="12:13" ht="14.5" x14ac:dyDescent="0.35">
      <c r="L691" s="4"/>
      <c r="M691" s="8"/>
    </row>
    <row r="692" spans="12:13" ht="14.5" x14ac:dyDescent="0.35">
      <c r="L692" s="4"/>
      <c r="M692" s="8"/>
    </row>
    <row r="693" spans="12:13" ht="14.5" x14ac:dyDescent="0.35">
      <c r="L693" s="4"/>
      <c r="M693" s="8"/>
    </row>
    <row r="694" spans="12:13" ht="14.5" x14ac:dyDescent="0.35">
      <c r="L694" s="4"/>
      <c r="M694" s="8"/>
    </row>
    <row r="695" spans="12:13" ht="14.5" x14ac:dyDescent="0.35">
      <c r="L695" s="4"/>
      <c r="M695" s="8"/>
    </row>
    <row r="696" spans="12:13" ht="14.5" x14ac:dyDescent="0.35">
      <c r="L696" s="4"/>
      <c r="M696" s="8"/>
    </row>
    <row r="697" spans="12:13" ht="14.5" x14ac:dyDescent="0.35">
      <c r="L697" s="4"/>
      <c r="M697" s="8"/>
    </row>
    <row r="698" spans="12:13" ht="14.5" x14ac:dyDescent="0.35">
      <c r="L698" s="4"/>
      <c r="M698" s="8"/>
    </row>
    <row r="699" spans="12:13" ht="14.5" x14ac:dyDescent="0.35">
      <c r="L699" s="4"/>
      <c r="M699" s="8"/>
    </row>
    <row r="700" spans="12:13" ht="14.5" x14ac:dyDescent="0.35">
      <c r="L700" s="4"/>
      <c r="M700" s="8"/>
    </row>
    <row r="701" spans="12:13" ht="14.5" x14ac:dyDescent="0.35">
      <c r="L701" s="4"/>
      <c r="M701" s="8"/>
    </row>
    <row r="702" spans="12:13" ht="14.5" x14ac:dyDescent="0.35">
      <c r="L702" s="4"/>
      <c r="M702" s="8"/>
    </row>
    <row r="703" spans="12:13" ht="14.5" x14ac:dyDescent="0.35">
      <c r="L703" s="4"/>
      <c r="M703" s="8"/>
    </row>
    <row r="704" spans="12:13" ht="14.5" x14ac:dyDescent="0.35">
      <c r="L704" s="4"/>
      <c r="M704" s="8"/>
    </row>
    <row r="705" spans="12:13" ht="14.5" x14ac:dyDescent="0.35">
      <c r="L705" s="4"/>
      <c r="M705" s="8"/>
    </row>
    <row r="706" spans="12:13" ht="14.5" x14ac:dyDescent="0.35">
      <c r="L706" s="4"/>
      <c r="M706" s="8"/>
    </row>
    <row r="707" spans="12:13" ht="14.5" x14ac:dyDescent="0.35">
      <c r="L707" s="4"/>
      <c r="M707" s="8"/>
    </row>
    <row r="708" spans="12:13" ht="14.5" x14ac:dyDescent="0.35">
      <c r="L708" s="4"/>
      <c r="M708" s="8"/>
    </row>
    <row r="709" spans="12:13" ht="14.5" x14ac:dyDescent="0.35">
      <c r="L709" s="4"/>
      <c r="M709" s="8"/>
    </row>
    <row r="710" spans="12:13" ht="14.5" x14ac:dyDescent="0.35">
      <c r="L710" s="4"/>
      <c r="M710" s="8"/>
    </row>
    <row r="711" spans="12:13" ht="14.5" x14ac:dyDescent="0.35">
      <c r="L711" s="4"/>
      <c r="M711" s="8"/>
    </row>
    <row r="712" spans="12:13" ht="14.5" x14ac:dyDescent="0.35">
      <c r="L712" s="4"/>
      <c r="M712" s="8"/>
    </row>
    <row r="713" spans="12:13" ht="14.5" x14ac:dyDescent="0.35">
      <c r="L713" s="4"/>
      <c r="M713" s="8"/>
    </row>
    <row r="714" spans="12:13" ht="14.5" x14ac:dyDescent="0.35">
      <c r="L714" s="4"/>
      <c r="M714" s="8"/>
    </row>
    <row r="715" spans="12:13" ht="14.5" x14ac:dyDescent="0.35">
      <c r="L715" s="4"/>
      <c r="M715" s="8"/>
    </row>
    <row r="716" spans="12:13" ht="14.5" x14ac:dyDescent="0.35">
      <c r="L716" s="4"/>
      <c r="M716" s="8"/>
    </row>
    <row r="717" spans="12:13" ht="14.5" x14ac:dyDescent="0.35">
      <c r="L717" s="4"/>
      <c r="M717" s="8"/>
    </row>
    <row r="718" spans="12:13" ht="14.5" x14ac:dyDescent="0.35">
      <c r="L718" s="4"/>
      <c r="M718" s="8"/>
    </row>
    <row r="719" spans="12:13" ht="14.5" x14ac:dyDescent="0.35">
      <c r="L719" s="4"/>
      <c r="M719" s="8"/>
    </row>
    <row r="720" spans="12:13" ht="14.5" x14ac:dyDescent="0.35">
      <c r="L720" s="4"/>
      <c r="M720" s="8"/>
    </row>
    <row r="721" spans="12:13" ht="14.5" x14ac:dyDescent="0.35">
      <c r="L721" s="4"/>
      <c r="M721" s="8"/>
    </row>
    <row r="722" spans="12:13" ht="14.5" x14ac:dyDescent="0.35">
      <c r="L722" s="4"/>
      <c r="M722" s="8"/>
    </row>
    <row r="723" spans="12:13" ht="14.5" x14ac:dyDescent="0.35">
      <c r="L723" s="4"/>
      <c r="M723" s="8"/>
    </row>
    <row r="724" spans="12:13" ht="14.5" x14ac:dyDescent="0.35">
      <c r="L724" s="4"/>
      <c r="M724" s="8"/>
    </row>
    <row r="725" spans="12:13" ht="14.5" x14ac:dyDescent="0.35">
      <c r="L725" s="4"/>
      <c r="M725" s="8"/>
    </row>
    <row r="726" spans="12:13" ht="14.5" x14ac:dyDescent="0.35">
      <c r="L726" s="4"/>
      <c r="M726" s="8"/>
    </row>
    <row r="727" spans="12:13" ht="14.5" x14ac:dyDescent="0.35">
      <c r="L727" s="4"/>
      <c r="M727" s="8"/>
    </row>
    <row r="728" spans="12:13" ht="14.5" x14ac:dyDescent="0.35">
      <c r="L728" s="4"/>
      <c r="M728" s="8"/>
    </row>
    <row r="729" spans="12:13" ht="14.5" x14ac:dyDescent="0.35">
      <c r="L729" s="4"/>
      <c r="M729" s="8"/>
    </row>
    <row r="730" spans="12:13" ht="14.5" x14ac:dyDescent="0.35">
      <c r="L730" s="4"/>
      <c r="M730" s="8"/>
    </row>
    <row r="731" spans="12:13" ht="14.5" x14ac:dyDescent="0.35">
      <c r="L731" s="4"/>
      <c r="M731" s="8"/>
    </row>
    <row r="732" spans="12:13" ht="14.5" x14ac:dyDescent="0.35">
      <c r="L732" s="4"/>
      <c r="M732" s="8"/>
    </row>
    <row r="733" spans="12:13" ht="14.5" x14ac:dyDescent="0.35">
      <c r="L733" s="4"/>
      <c r="M733" s="8"/>
    </row>
    <row r="734" spans="12:13" ht="14.5" x14ac:dyDescent="0.35">
      <c r="L734" s="4"/>
      <c r="M734" s="8"/>
    </row>
    <row r="735" spans="12:13" ht="14.5" x14ac:dyDescent="0.35">
      <c r="L735" s="4"/>
      <c r="M735" s="8"/>
    </row>
    <row r="736" spans="12:13" ht="14.5" x14ac:dyDescent="0.35">
      <c r="L736" s="4"/>
      <c r="M736" s="8"/>
    </row>
    <row r="737" spans="12:13" ht="14.5" x14ac:dyDescent="0.35">
      <c r="L737" s="4"/>
      <c r="M737" s="8"/>
    </row>
    <row r="738" spans="12:13" ht="14.5" x14ac:dyDescent="0.35">
      <c r="L738" s="4"/>
      <c r="M738" s="8"/>
    </row>
    <row r="739" spans="12:13" ht="14.5" x14ac:dyDescent="0.35">
      <c r="L739" s="4"/>
      <c r="M739" s="8"/>
    </row>
    <row r="740" spans="12:13" ht="14.5" x14ac:dyDescent="0.35">
      <c r="L740" s="4"/>
      <c r="M740" s="8"/>
    </row>
    <row r="741" spans="12:13" ht="14.5" x14ac:dyDescent="0.35">
      <c r="L741" s="4"/>
      <c r="M741" s="8"/>
    </row>
    <row r="742" spans="12:13" ht="14.5" x14ac:dyDescent="0.35">
      <c r="L742" s="4"/>
      <c r="M742" s="8"/>
    </row>
    <row r="743" spans="12:13" ht="14.5" x14ac:dyDescent="0.35">
      <c r="L743" s="4"/>
      <c r="M743" s="8"/>
    </row>
    <row r="744" spans="12:13" ht="14.5" x14ac:dyDescent="0.35">
      <c r="L744" s="4"/>
      <c r="M744" s="8"/>
    </row>
    <row r="745" spans="12:13" ht="14.5" x14ac:dyDescent="0.35">
      <c r="L745" s="4"/>
      <c r="M745" s="8"/>
    </row>
    <row r="746" spans="12:13" ht="14.5" x14ac:dyDescent="0.35">
      <c r="L746" s="4"/>
      <c r="M746" s="8"/>
    </row>
    <row r="747" spans="12:13" ht="14.5" x14ac:dyDescent="0.35">
      <c r="L747" s="4"/>
      <c r="M747" s="8"/>
    </row>
    <row r="748" spans="12:13" ht="14.5" x14ac:dyDescent="0.35">
      <c r="L748" s="4"/>
      <c r="M748" s="8"/>
    </row>
    <row r="749" spans="12:13" ht="14.5" x14ac:dyDescent="0.35">
      <c r="L749" s="4"/>
      <c r="M749" s="8"/>
    </row>
    <row r="750" spans="12:13" ht="14.5" x14ac:dyDescent="0.35">
      <c r="L750" s="4"/>
      <c r="M750" s="8"/>
    </row>
    <row r="751" spans="12:13" ht="14.5" x14ac:dyDescent="0.35">
      <c r="L751" s="4"/>
      <c r="M751" s="8"/>
    </row>
    <row r="752" spans="12:13" ht="14.5" x14ac:dyDescent="0.35">
      <c r="L752" s="4"/>
      <c r="M752" s="8"/>
    </row>
    <row r="753" spans="12:13" ht="14.5" x14ac:dyDescent="0.35">
      <c r="L753" s="4"/>
      <c r="M753" s="8"/>
    </row>
    <row r="754" spans="12:13" ht="14.5" x14ac:dyDescent="0.35">
      <c r="L754" s="4"/>
      <c r="M754" s="8"/>
    </row>
    <row r="755" spans="12:13" ht="14.5" x14ac:dyDescent="0.35">
      <c r="L755" s="4"/>
      <c r="M755" s="8"/>
    </row>
    <row r="756" spans="12:13" ht="14.5" x14ac:dyDescent="0.35">
      <c r="L756" s="4"/>
      <c r="M756" s="8"/>
    </row>
    <row r="757" spans="12:13" ht="14.5" x14ac:dyDescent="0.35">
      <c r="L757" s="4"/>
      <c r="M757" s="8"/>
    </row>
    <row r="758" spans="12:13" ht="14.5" x14ac:dyDescent="0.35">
      <c r="L758" s="4"/>
      <c r="M758" s="8"/>
    </row>
    <row r="759" spans="12:13" ht="14.5" x14ac:dyDescent="0.35">
      <c r="L759" s="4"/>
      <c r="M759" s="8"/>
    </row>
    <row r="760" spans="12:13" ht="14.5" x14ac:dyDescent="0.35">
      <c r="L760" s="4"/>
      <c r="M760" s="8"/>
    </row>
    <row r="761" spans="12:13" ht="14.5" x14ac:dyDescent="0.35">
      <c r="L761" s="4"/>
      <c r="M761" s="8"/>
    </row>
    <row r="762" spans="12:13" ht="14.5" x14ac:dyDescent="0.35">
      <c r="L762" s="4"/>
      <c r="M762" s="8"/>
    </row>
    <row r="763" spans="12:13" ht="14.5" x14ac:dyDescent="0.35">
      <c r="L763" s="4"/>
      <c r="M763" s="8"/>
    </row>
    <row r="764" spans="12:13" ht="14.5" x14ac:dyDescent="0.35">
      <c r="L764" s="4"/>
      <c r="M764" s="8"/>
    </row>
    <row r="765" spans="12:13" ht="14.5" x14ac:dyDescent="0.35">
      <c r="L765" s="4"/>
      <c r="M765" s="8"/>
    </row>
    <row r="766" spans="12:13" ht="14.5" x14ac:dyDescent="0.35">
      <c r="L766" s="4"/>
      <c r="M766" s="8"/>
    </row>
    <row r="767" spans="12:13" ht="14.5" x14ac:dyDescent="0.35">
      <c r="L767" s="4"/>
      <c r="M767" s="8"/>
    </row>
    <row r="768" spans="12:13" ht="14.5" x14ac:dyDescent="0.35">
      <c r="L768" s="4"/>
      <c r="M768" s="8"/>
    </row>
    <row r="769" spans="12:13" ht="14.5" x14ac:dyDescent="0.35">
      <c r="L769" s="4"/>
      <c r="M769" s="8"/>
    </row>
    <row r="770" spans="12:13" ht="14.5" x14ac:dyDescent="0.35">
      <c r="L770" s="4"/>
      <c r="M770" s="8"/>
    </row>
    <row r="771" spans="12:13" ht="14.5" x14ac:dyDescent="0.35">
      <c r="L771" s="4"/>
      <c r="M771" s="8"/>
    </row>
    <row r="772" spans="12:13" ht="14.5" x14ac:dyDescent="0.35">
      <c r="L772" s="4"/>
      <c r="M772" s="8"/>
    </row>
    <row r="773" spans="12:13" ht="14.5" x14ac:dyDescent="0.35">
      <c r="L773" s="4"/>
      <c r="M773" s="8"/>
    </row>
    <row r="774" spans="12:13" ht="14.5" x14ac:dyDescent="0.35">
      <c r="L774" s="4"/>
      <c r="M774" s="8"/>
    </row>
    <row r="775" spans="12:13" ht="14.5" x14ac:dyDescent="0.35">
      <c r="L775" s="4"/>
      <c r="M775" s="8"/>
    </row>
    <row r="776" spans="12:13" ht="14.5" x14ac:dyDescent="0.35">
      <c r="L776" s="4"/>
      <c r="M776" s="8"/>
    </row>
    <row r="777" spans="12:13" ht="14.5" x14ac:dyDescent="0.35">
      <c r="L777" s="4"/>
      <c r="M777" s="8"/>
    </row>
    <row r="778" spans="12:13" ht="14.5" x14ac:dyDescent="0.35">
      <c r="L778" s="4"/>
      <c r="M778" s="8"/>
    </row>
    <row r="779" spans="12:13" ht="14.5" x14ac:dyDescent="0.35">
      <c r="L779" s="4"/>
      <c r="M779" s="8"/>
    </row>
    <row r="780" spans="12:13" ht="14.5" x14ac:dyDescent="0.35">
      <c r="L780" s="4"/>
      <c r="M780" s="8"/>
    </row>
    <row r="781" spans="12:13" ht="14.5" x14ac:dyDescent="0.35">
      <c r="L781" s="4"/>
      <c r="M781" s="8"/>
    </row>
    <row r="782" spans="12:13" ht="14.5" x14ac:dyDescent="0.35">
      <c r="L782" s="4"/>
      <c r="M782" s="8"/>
    </row>
    <row r="783" spans="12:13" ht="14.5" x14ac:dyDescent="0.35">
      <c r="L783" s="4"/>
      <c r="M783" s="8"/>
    </row>
    <row r="784" spans="12:13" ht="14.5" x14ac:dyDescent="0.35">
      <c r="L784" s="4"/>
      <c r="M784" s="8"/>
    </row>
    <row r="785" spans="12:13" ht="14.5" x14ac:dyDescent="0.35">
      <c r="L785" s="4"/>
      <c r="M785" s="8"/>
    </row>
    <row r="786" spans="12:13" ht="14.5" x14ac:dyDescent="0.35">
      <c r="L786" s="4"/>
      <c r="M786" s="8"/>
    </row>
    <row r="787" spans="12:13" ht="14.5" x14ac:dyDescent="0.35">
      <c r="L787" s="4"/>
      <c r="M787" s="8"/>
    </row>
    <row r="788" spans="12:13" ht="14.5" x14ac:dyDescent="0.35">
      <c r="L788" s="4"/>
      <c r="M788" s="8"/>
    </row>
    <row r="789" spans="12:13" ht="14.5" x14ac:dyDescent="0.35">
      <c r="L789" s="4"/>
      <c r="M789" s="8"/>
    </row>
    <row r="790" spans="12:13" ht="14.5" x14ac:dyDescent="0.35">
      <c r="L790" s="4"/>
      <c r="M790" s="8"/>
    </row>
    <row r="791" spans="12:13" ht="14.5" x14ac:dyDescent="0.35">
      <c r="L791" s="4"/>
      <c r="M791" s="8"/>
    </row>
    <row r="792" spans="12:13" ht="14.5" x14ac:dyDescent="0.35">
      <c r="L792" s="4"/>
      <c r="M792" s="8"/>
    </row>
    <row r="793" spans="12:13" ht="14.5" x14ac:dyDescent="0.35">
      <c r="L793" s="4"/>
      <c r="M793" s="8"/>
    </row>
    <row r="794" spans="12:13" ht="14.5" x14ac:dyDescent="0.35">
      <c r="L794" s="4"/>
      <c r="M794" s="8"/>
    </row>
    <row r="795" spans="12:13" ht="14.5" x14ac:dyDescent="0.35">
      <c r="L795" s="4"/>
      <c r="M795" s="8"/>
    </row>
    <row r="796" spans="12:13" ht="14.5" x14ac:dyDescent="0.35">
      <c r="L796" s="4"/>
      <c r="M796" s="8"/>
    </row>
    <row r="797" spans="12:13" ht="14.5" x14ac:dyDescent="0.35">
      <c r="L797" s="4"/>
      <c r="M797" s="8"/>
    </row>
    <row r="798" spans="12:13" ht="14.5" x14ac:dyDescent="0.35">
      <c r="L798" s="4"/>
      <c r="M798" s="8"/>
    </row>
    <row r="799" spans="12:13" ht="14.5" x14ac:dyDescent="0.35">
      <c r="L799" s="4"/>
      <c r="M799" s="8"/>
    </row>
    <row r="800" spans="12:13" ht="14.5" x14ac:dyDescent="0.35">
      <c r="L800" s="4"/>
      <c r="M800" s="8"/>
    </row>
    <row r="801" spans="12:13" ht="14.5" x14ac:dyDescent="0.35">
      <c r="L801" s="4"/>
      <c r="M801" s="8"/>
    </row>
    <row r="802" spans="12:13" ht="14.5" x14ac:dyDescent="0.35">
      <c r="L802" s="4"/>
      <c r="M802" s="8"/>
    </row>
    <row r="803" spans="12:13" ht="14.5" x14ac:dyDescent="0.35">
      <c r="L803" s="4"/>
      <c r="M803" s="8"/>
    </row>
    <row r="804" spans="12:13" ht="14.5" x14ac:dyDescent="0.35">
      <c r="L804" s="4"/>
      <c r="M804" s="8"/>
    </row>
    <row r="805" spans="12:13" ht="14.5" x14ac:dyDescent="0.35">
      <c r="L805" s="4"/>
      <c r="M805" s="8"/>
    </row>
    <row r="806" spans="12:13" ht="14.5" x14ac:dyDescent="0.35">
      <c r="L806" s="4"/>
      <c r="M806" s="8"/>
    </row>
    <row r="807" spans="12:13" ht="14.5" x14ac:dyDescent="0.35">
      <c r="L807" s="4"/>
      <c r="M807" s="8"/>
    </row>
    <row r="808" spans="12:13" ht="14.5" x14ac:dyDescent="0.35">
      <c r="L808" s="4"/>
      <c r="M808" s="8"/>
    </row>
    <row r="809" spans="12:13" ht="14.5" x14ac:dyDescent="0.35">
      <c r="L809" s="4"/>
      <c r="M809" s="8"/>
    </row>
    <row r="810" spans="12:13" ht="14.5" x14ac:dyDescent="0.35">
      <c r="L810" s="4"/>
      <c r="M810" s="8"/>
    </row>
    <row r="811" spans="12:13" ht="14.5" x14ac:dyDescent="0.35">
      <c r="L811" s="4"/>
      <c r="M811" s="8"/>
    </row>
    <row r="812" spans="12:13" ht="14.5" x14ac:dyDescent="0.35">
      <c r="L812" s="4"/>
      <c r="M812" s="8"/>
    </row>
    <row r="813" spans="12:13" ht="14.5" x14ac:dyDescent="0.35">
      <c r="L813" s="4"/>
      <c r="M813" s="8"/>
    </row>
    <row r="814" spans="12:13" ht="14.5" x14ac:dyDescent="0.35">
      <c r="L814" s="4"/>
      <c r="M814" s="8"/>
    </row>
    <row r="815" spans="12:13" ht="14.5" x14ac:dyDescent="0.35">
      <c r="L815" s="4"/>
      <c r="M815" s="8"/>
    </row>
    <row r="816" spans="12:13" ht="14.5" x14ac:dyDescent="0.35">
      <c r="L816" s="4"/>
      <c r="M816" s="8"/>
    </row>
    <row r="817" spans="12:13" ht="14.5" x14ac:dyDescent="0.35">
      <c r="L817" s="4"/>
      <c r="M817" s="8"/>
    </row>
    <row r="818" spans="12:13" ht="14.5" x14ac:dyDescent="0.35">
      <c r="L818" s="4"/>
      <c r="M818" s="8"/>
    </row>
    <row r="819" spans="12:13" ht="14.5" x14ac:dyDescent="0.35">
      <c r="L819" s="4"/>
      <c r="M819" s="8"/>
    </row>
    <row r="820" spans="12:13" ht="14.5" x14ac:dyDescent="0.35">
      <c r="L820" s="4"/>
      <c r="M820" s="8"/>
    </row>
    <row r="821" spans="12:13" ht="14.5" x14ac:dyDescent="0.35">
      <c r="L821" s="4"/>
      <c r="M821" s="8"/>
    </row>
    <row r="822" spans="12:13" ht="14.5" x14ac:dyDescent="0.35">
      <c r="L822" s="4"/>
      <c r="M822" s="8"/>
    </row>
    <row r="823" spans="12:13" ht="14.5" x14ac:dyDescent="0.35">
      <c r="L823" s="4"/>
      <c r="M823" s="8"/>
    </row>
    <row r="824" spans="12:13" ht="14.5" x14ac:dyDescent="0.35">
      <c r="L824" s="4"/>
      <c r="M824" s="8"/>
    </row>
    <row r="825" spans="12:13" ht="14.5" x14ac:dyDescent="0.35">
      <c r="L825" s="4"/>
      <c r="M825" s="8"/>
    </row>
    <row r="826" spans="12:13" ht="14.5" x14ac:dyDescent="0.35">
      <c r="L826" s="4"/>
      <c r="M826" s="8"/>
    </row>
    <row r="827" spans="12:13" ht="14.5" x14ac:dyDescent="0.35">
      <c r="L827" s="4"/>
      <c r="M827" s="8"/>
    </row>
    <row r="828" spans="12:13" ht="14.5" x14ac:dyDescent="0.35">
      <c r="L828" s="4"/>
      <c r="M828" s="8"/>
    </row>
    <row r="829" spans="12:13" ht="14.5" x14ac:dyDescent="0.35">
      <c r="L829" s="4"/>
      <c r="M829" s="8"/>
    </row>
    <row r="830" spans="12:13" ht="14.5" x14ac:dyDescent="0.35">
      <c r="L830" s="4"/>
      <c r="M830" s="8"/>
    </row>
    <row r="831" spans="12:13" ht="14.5" x14ac:dyDescent="0.35">
      <c r="L831" s="4"/>
      <c r="M831" s="8"/>
    </row>
    <row r="832" spans="12:13" ht="14.5" x14ac:dyDescent="0.35">
      <c r="L832" s="4"/>
      <c r="M832" s="8"/>
    </row>
    <row r="833" spans="12:13" ht="14.5" x14ac:dyDescent="0.35">
      <c r="L833" s="4"/>
      <c r="M833" s="8"/>
    </row>
    <row r="834" spans="12:13" ht="14.5" x14ac:dyDescent="0.35">
      <c r="L834" s="4"/>
      <c r="M834" s="8"/>
    </row>
    <row r="835" spans="12:13" ht="14.5" x14ac:dyDescent="0.35">
      <c r="L835" s="4"/>
      <c r="M835" s="8"/>
    </row>
    <row r="836" spans="12:13" ht="14.5" x14ac:dyDescent="0.35">
      <c r="L836" s="4"/>
      <c r="M836" s="8"/>
    </row>
    <row r="837" spans="12:13" ht="14.5" x14ac:dyDescent="0.35">
      <c r="L837" s="4"/>
      <c r="M837" s="8"/>
    </row>
    <row r="838" spans="12:13" ht="14.5" x14ac:dyDescent="0.35">
      <c r="L838" s="4"/>
      <c r="M838" s="8"/>
    </row>
    <row r="839" spans="12:13" ht="14.5" x14ac:dyDescent="0.35">
      <c r="L839" s="4"/>
      <c r="M839" s="8"/>
    </row>
    <row r="840" spans="12:13" ht="14.5" x14ac:dyDescent="0.35">
      <c r="L840" s="4"/>
      <c r="M840" s="8"/>
    </row>
    <row r="841" spans="12:13" ht="14.5" x14ac:dyDescent="0.35">
      <c r="L841" s="4"/>
      <c r="M841" s="8"/>
    </row>
    <row r="842" spans="12:13" ht="14.5" x14ac:dyDescent="0.35">
      <c r="L842" s="4"/>
      <c r="M842" s="8"/>
    </row>
    <row r="843" spans="12:13" ht="14.5" x14ac:dyDescent="0.35">
      <c r="L843" s="4"/>
      <c r="M843" s="8"/>
    </row>
    <row r="844" spans="12:13" ht="14.5" x14ac:dyDescent="0.35">
      <c r="L844" s="4"/>
      <c r="M844" s="8"/>
    </row>
    <row r="845" spans="12:13" ht="14.5" x14ac:dyDescent="0.35">
      <c r="L845" s="4"/>
      <c r="M845" s="8"/>
    </row>
    <row r="846" spans="12:13" ht="14.5" x14ac:dyDescent="0.35">
      <c r="L846" s="4"/>
      <c r="M846" s="8"/>
    </row>
    <row r="847" spans="12:13" ht="14.5" x14ac:dyDescent="0.35">
      <c r="L847" s="4"/>
      <c r="M847" s="8"/>
    </row>
    <row r="848" spans="12:13" ht="14.5" x14ac:dyDescent="0.35">
      <c r="L848" s="4"/>
      <c r="M848" s="8"/>
    </row>
    <row r="849" spans="12:13" ht="14.5" x14ac:dyDescent="0.35">
      <c r="L849" s="4"/>
      <c r="M849" s="8"/>
    </row>
    <row r="850" spans="12:13" ht="14.5" x14ac:dyDescent="0.35">
      <c r="L850" s="4"/>
      <c r="M850" s="8"/>
    </row>
    <row r="851" spans="12:13" ht="14.5" x14ac:dyDescent="0.35">
      <c r="L851" s="4"/>
      <c r="M851" s="8"/>
    </row>
    <row r="852" spans="12:13" ht="14.5" x14ac:dyDescent="0.35">
      <c r="L852" s="4"/>
      <c r="M852" s="8"/>
    </row>
    <row r="853" spans="12:13" ht="14.5" x14ac:dyDescent="0.35">
      <c r="L853" s="4"/>
      <c r="M853" s="8"/>
    </row>
    <row r="854" spans="12:13" ht="14.5" x14ac:dyDescent="0.35">
      <c r="L854" s="4"/>
      <c r="M854" s="8"/>
    </row>
    <row r="855" spans="12:13" ht="14.5" x14ac:dyDescent="0.35">
      <c r="L855" s="4"/>
      <c r="M855" s="8"/>
    </row>
    <row r="856" spans="12:13" ht="14.5" x14ac:dyDescent="0.35">
      <c r="L856" s="4"/>
      <c r="M856" s="8"/>
    </row>
    <row r="857" spans="12:13" ht="14.5" x14ac:dyDescent="0.35">
      <c r="L857" s="4"/>
      <c r="M857" s="8"/>
    </row>
    <row r="858" spans="12:13" ht="14.5" x14ac:dyDescent="0.35">
      <c r="L858" s="4"/>
      <c r="M858" s="8"/>
    </row>
    <row r="859" spans="12:13" ht="14.5" x14ac:dyDescent="0.35">
      <c r="L859" s="4"/>
      <c r="M859" s="8"/>
    </row>
    <row r="860" spans="12:13" ht="14.5" x14ac:dyDescent="0.35">
      <c r="L860" s="4"/>
      <c r="M860" s="8"/>
    </row>
    <row r="861" spans="12:13" ht="14.5" x14ac:dyDescent="0.35">
      <c r="L861" s="4"/>
      <c r="M861" s="8"/>
    </row>
    <row r="862" spans="12:13" ht="14.5" x14ac:dyDescent="0.35">
      <c r="L862" s="4"/>
      <c r="M862" s="8"/>
    </row>
    <row r="863" spans="12:13" ht="14.5" x14ac:dyDescent="0.35">
      <c r="L863" s="4"/>
      <c r="M863" s="8"/>
    </row>
    <row r="864" spans="12:13" ht="14.5" x14ac:dyDescent="0.35">
      <c r="L864" s="4"/>
      <c r="M864" s="8"/>
    </row>
    <row r="865" spans="12:13" ht="14.5" x14ac:dyDescent="0.35">
      <c r="L865" s="4"/>
      <c r="M865" s="8"/>
    </row>
    <row r="866" spans="12:13" ht="14.5" x14ac:dyDescent="0.35">
      <c r="L866" s="4"/>
      <c r="M866" s="8"/>
    </row>
    <row r="867" spans="12:13" ht="14.5" x14ac:dyDescent="0.35">
      <c r="L867" s="4"/>
      <c r="M867" s="8"/>
    </row>
    <row r="868" spans="12:13" ht="14.5" x14ac:dyDescent="0.35">
      <c r="L868" s="4"/>
      <c r="M868" s="8"/>
    </row>
    <row r="869" spans="12:13" ht="14.5" x14ac:dyDescent="0.35">
      <c r="L869" s="4"/>
      <c r="M869" s="8"/>
    </row>
    <row r="870" spans="12:13" ht="14.5" x14ac:dyDescent="0.35">
      <c r="L870" s="4"/>
      <c r="M870" s="8"/>
    </row>
    <row r="871" spans="12:13" ht="14.5" x14ac:dyDescent="0.35">
      <c r="L871" s="4"/>
      <c r="M871" s="8"/>
    </row>
    <row r="872" spans="12:13" ht="14.5" x14ac:dyDescent="0.35">
      <c r="L872" s="4"/>
      <c r="M872" s="8"/>
    </row>
    <row r="873" spans="12:13" ht="14.5" x14ac:dyDescent="0.35">
      <c r="L873" s="4"/>
      <c r="M873" s="8"/>
    </row>
    <row r="874" spans="12:13" ht="14.5" x14ac:dyDescent="0.35">
      <c r="L874" s="4"/>
      <c r="M874" s="8"/>
    </row>
    <row r="875" spans="12:13" ht="14.5" x14ac:dyDescent="0.35">
      <c r="L875" s="4"/>
      <c r="M875" s="8"/>
    </row>
    <row r="876" spans="12:13" ht="14.5" x14ac:dyDescent="0.35">
      <c r="L876" s="4"/>
      <c r="M876" s="8"/>
    </row>
    <row r="877" spans="12:13" ht="14.5" x14ac:dyDescent="0.35">
      <c r="L877" s="4"/>
      <c r="M877" s="8"/>
    </row>
    <row r="878" spans="12:13" ht="14.5" x14ac:dyDescent="0.35">
      <c r="L878" s="4"/>
      <c r="M878" s="8"/>
    </row>
    <row r="879" spans="12:13" ht="14.5" x14ac:dyDescent="0.35">
      <c r="L879" s="4"/>
      <c r="M879" s="8"/>
    </row>
    <row r="880" spans="12:13" ht="14.5" x14ac:dyDescent="0.35">
      <c r="L880" s="4"/>
      <c r="M880" s="8"/>
    </row>
    <row r="881" spans="12:13" ht="14.5" x14ac:dyDescent="0.35">
      <c r="L881" s="4"/>
      <c r="M881" s="8"/>
    </row>
    <row r="882" spans="12:13" ht="14.5" x14ac:dyDescent="0.35">
      <c r="L882" s="4"/>
      <c r="M882" s="8"/>
    </row>
    <row r="883" spans="12:13" ht="14.5" x14ac:dyDescent="0.35">
      <c r="L883" s="4"/>
      <c r="M883" s="8"/>
    </row>
    <row r="884" spans="12:13" ht="14.5" x14ac:dyDescent="0.35">
      <c r="L884" s="4"/>
      <c r="M884" s="8"/>
    </row>
    <row r="885" spans="12:13" ht="14.5" x14ac:dyDescent="0.35">
      <c r="L885" s="4"/>
      <c r="M885" s="8"/>
    </row>
    <row r="886" spans="12:13" ht="14.5" x14ac:dyDescent="0.35">
      <c r="L886" s="4"/>
      <c r="M886" s="8"/>
    </row>
    <row r="887" spans="12:13" ht="14.5" x14ac:dyDescent="0.35">
      <c r="L887" s="4"/>
      <c r="M887" s="8"/>
    </row>
    <row r="888" spans="12:13" ht="14.5" x14ac:dyDescent="0.35">
      <c r="L888" s="4"/>
      <c r="M888" s="8"/>
    </row>
    <row r="889" spans="12:13" ht="14.5" x14ac:dyDescent="0.35">
      <c r="L889" s="4"/>
      <c r="M889" s="8"/>
    </row>
    <row r="890" spans="12:13" ht="14.5" x14ac:dyDescent="0.35">
      <c r="L890" s="4"/>
      <c r="M890" s="8"/>
    </row>
    <row r="891" spans="12:13" ht="14.5" x14ac:dyDescent="0.35">
      <c r="L891" s="4"/>
      <c r="M891" s="8"/>
    </row>
    <row r="892" spans="12:13" ht="14.5" x14ac:dyDescent="0.35">
      <c r="L892" s="4"/>
      <c r="M892" s="8"/>
    </row>
    <row r="893" spans="12:13" ht="14.5" x14ac:dyDescent="0.35">
      <c r="L893" s="4"/>
      <c r="M893" s="8"/>
    </row>
    <row r="894" spans="12:13" ht="14.5" x14ac:dyDescent="0.35">
      <c r="L894" s="4"/>
      <c r="M894" s="8"/>
    </row>
    <row r="895" spans="12:13" ht="14.5" x14ac:dyDescent="0.35">
      <c r="L895" s="4"/>
      <c r="M895" s="8"/>
    </row>
    <row r="896" spans="12:13" ht="14.5" x14ac:dyDescent="0.35">
      <c r="L896" s="4"/>
      <c r="M896" s="8"/>
    </row>
    <row r="897" spans="12:13" ht="14.5" x14ac:dyDescent="0.35">
      <c r="L897" s="4"/>
      <c r="M897" s="8"/>
    </row>
    <row r="898" spans="12:13" ht="14.5" x14ac:dyDescent="0.35">
      <c r="L898" s="4"/>
      <c r="M898" s="8"/>
    </row>
    <row r="899" spans="12:13" ht="14.5" x14ac:dyDescent="0.35">
      <c r="L899" s="4"/>
      <c r="M899" s="8"/>
    </row>
    <row r="900" spans="12:13" ht="14.5" x14ac:dyDescent="0.35">
      <c r="L900" s="4"/>
      <c r="M900" s="8"/>
    </row>
    <row r="901" spans="12:13" ht="14.5" x14ac:dyDescent="0.35">
      <c r="L901" s="4"/>
      <c r="M901" s="8"/>
    </row>
    <row r="902" spans="12:13" ht="14.5" x14ac:dyDescent="0.35">
      <c r="L902" s="4"/>
      <c r="M902" s="8"/>
    </row>
    <row r="903" spans="12:13" ht="14.5" x14ac:dyDescent="0.35">
      <c r="L903" s="4"/>
      <c r="M903" s="8"/>
    </row>
    <row r="904" spans="12:13" ht="14.5" x14ac:dyDescent="0.35">
      <c r="L904" s="4"/>
      <c r="M904" s="8"/>
    </row>
    <row r="905" spans="12:13" ht="14.5" x14ac:dyDescent="0.35">
      <c r="L905" s="4"/>
      <c r="M905" s="8"/>
    </row>
    <row r="906" spans="12:13" ht="14.5" x14ac:dyDescent="0.35">
      <c r="L906" s="4"/>
      <c r="M906" s="8"/>
    </row>
    <row r="907" spans="12:13" ht="14.5" x14ac:dyDescent="0.35">
      <c r="L907" s="4"/>
      <c r="M907" s="8"/>
    </row>
    <row r="908" spans="12:13" ht="14.5" x14ac:dyDescent="0.35">
      <c r="L908" s="4"/>
      <c r="M908" s="8"/>
    </row>
    <row r="909" spans="12:13" ht="14.5" x14ac:dyDescent="0.35">
      <c r="L909" s="4"/>
      <c r="M909" s="8"/>
    </row>
    <row r="910" spans="12:13" ht="14.5" x14ac:dyDescent="0.35">
      <c r="L910" s="4"/>
      <c r="M910" s="8"/>
    </row>
    <row r="911" spans="12:13" ht="14.5" x14ac:dyDescent="0.35">
      <c r="L911" s="4"/>
      <c r="M911" s="8"/>
    </row>
    <row r="912" spans="12:13" ht="14.5" x14ac:dyDescent="0.35">
      <c r="L912" s="4"/>
      <c r="M912" s="8"/>
    </row>
    <row r="913" spans="12:13" ht="14.5" x14ac:dyDescent="0.35">
      <c r="L913" s="4"/>
      <c r="M913" s="8"/>
    </row>
    <row r="914" spans="12:13" ht="14.5" x14ac:dyDescent="0.35">
      <c r="L914" s="4"/>
      <c r="M914" s="8"/>
    </row>
    <row r="915" spans="12:13" ht="14.5" x14ac:dyDescent="0.35">
      <c r="L915" s="4"/>
      <c r="M915" s="8"/>
    </row>
    <row r="916" spans="12:13" ht="14.5" x14ac:dyDescent="0.35">
      <c r="L916" s="4"/>
      <c r="M916" s="8"/>
    </row>
    <row r="917" spans="12:13" ht="14.5" x14ac:dyDescent="0.35">
      <c r="L917" s="4"/>
      <c r="M917" s="8"/>
    </row>
    <row r="918" spans="12:13" ht="14.5" x14ac:dyDescent="0.35">
      <c r="L918" s="4"/>
      <c r="M918" s="8"/>
    </row>
    <row r="919" spans="12:13" ht="14.5" x14ac:dyDescent="0.35">
      <c r="L919" s="4"/>
      <c r="M919" s="8"/>
    </row>
    <row r="920" spans="12:13" ht="14.5" x14ac:dyDescent="0.35">
      <c r="L920" s="4"/>
      <c r="M920" s="8"/>
    </row>
    <row r="921" spans="12:13" ht="14.5" x14ac:dyDescent="0.35">
      <c r="L921" s="4"/>
      <c r="M921" s="8"/>
    </row>
    <row r="922" spans="12:13" ht="14.5" x14ac:dyDescent="0.35">
      <c r="L922" s="4"/>
      <c r="M922" s="8"/>
    </row>
    <row r="923" spans="12:13" ht="14.5" x14ac:dyDescent="0.35">
      <c r="L923" s="4"/>
      <c r="M923" s="8"/>
    </row>
    <row r="924" spans="12:13" ht="14.5" x14ac:dyDescent="0.35">
      <c r="L924" s="4"/>
      <c r="M924" s="8"/>
    </row>
    <row r="925" spans="12:13" ht="14.5" x14ac:dyDescent="0.35">
      <c r="L925" s="4"/>
      <c r="M925" s="8"/>
    </row>
    <row r="926" spans="12:13" ht="14.5" x14ac:dyDescent="0.35">
      <c r="L926" s="4"/>
      <c r="M926" s="8"/>
    </row>
    <row r="927" spans="12:13" ht="14.5" x14ac:dyDescent="0.35">
      <c r="L927" s="4"/>
      <c r="M927" s="8"/>
    </row>
    <row r="928" spans="12:13" ht="14.5" x14ac:dyDescent="0.35">
      <c r="L928" s="4"/>
      <c r="M928" s="8"/>
    </row>
    <row r="929" spans="12:13" ht="14.5" x14ac:dyDescent="0.35">
      <c r="L929" s="4"/>
      <c r="M929" s="8"/>
    </row>
    <row r="930" spans="12:13" ht="14.5" x14ac:dyDescent="0.35">
      <c r="L930" s="4"/>
      <c r="M930" s="8"/>
    </row>
    <row r="931" spans="12:13" ht="14.5" x14ac:dyDescent="0.35">
      <c r="L931" s="4"/>
      <c r="M931" s="8"/>
    </row>
    <row r="932" spans="12:13" ht="14.5" x14ac:dyDescent="0.35">
      <c r="L932" s="4"/>
      <c r="M932" s="8"/>
    </row>
    <row r="933" spans="12:13" ht="14.5" x14ac:dyDescent="0.35">
      <c r="L933" s="4"/>
      <c r="M933" s="8"/>
    </row>
    <row r="934" spans="12:13" ht="14.5" x14ac:dyDescent="0.35">
      <c r="L934" s="4"/>
      <c r="M934" s="8"/>
    </row>
    <row r="935" spans="12:13" ht="14.5" x14ac:dyDescent="0.35">
      <c r="L935" s="4"/>
      <c r="M935" s="8"/>
    </row>
    <row r="936" spans="12:13" ht="14.5" x14ac:dyDescent="0.35">
      <c r="L936" s="4"/>
      <c r="M936" s="8"/>
    </row>
    <row r="937" spans="12:13" ht="14.5" x14ac:dyDescent="0.35">
      <c r="L937" s="4"/>
      <c r="M937" s="8"/>
    </row>
    <row r="938" spans="12:13" ht="14.5" x14ac:dyDescent="0.35">
      <c r="L938" s="4"/>
      <c r="M938" s="8"/>
    </row>
    <row r="939" spans="12:13" ht="14.5" x14ac:dyDescent="0.35">
      <c r="L939" s="4"/>
      <c r="M939" s="8"/>
    </row>
    <row r="940" spans="12:13" ht="14.5" x14ac:dyDescent="0.35">
      <c r="L940" s="4"/>
      <c r="M940" s="8"/>
    </row>
    <row r="941" spans="12:13" ht="14.5" x14ac:dyDescent="0.35">
      <c r="L941" s="4"/>
      <c r="M941" s="8"/>
    </row>
    <row r="942" spans="12:13" ht="14.5" x14ac:dyDescent="0.35">
      <c r="L942" s="4"/>
      <c r="M942" s="8"/>
    </row>
    <row r="943" spans="12:13" ht="14.5" x14ac:dyDescent="0.35">
      <c r="L943" s="4"/>
      <c r="M943" s="8"/>
    </row>
    <row r="944" spans="12:13" ht="14.5" x14ac:dyDescent="0.35">
      <c r="L944" s="4"/>
      <c r="M944" s="8"/>
    </row>
    <row r="945" spans="12:13" ht="14.5" x14ac:dyDescent="0.35">
      <c r="L945" s="4"/>
      <c r="M945" s="8"/>
    </row>
    <row r="946" spans="12:13" ht="14.5" x14ac:dyDescent="0.35">
      <c r="L946" s="4"/>
      <c r="M946" s="8"/>
    </row>
    <row r="947" spans="12:13" ht="14.5" x14ac:dyDescent="0.35">
      <c r="L947" s="4"/>
      <c r="M947" s="8"/>
    </row>
    <row r="948" spans="12:13" ht="14.5" x14ac:dyDescent="0.35">
      <c r="L948" s="4"/>
      <c r="M948" s="8"/>
    </row>
    <row r="949" spans="12:13" ht="14.5" x14ac:dyDescent="0.35">
      <c r="L949" s="4"/>
      <c r="M949" s="8"/>
    </row>
    <row r="950" spans="12:13" ht="14.5" x14ac:dyDescent="0.35">
      <c r="L950" s="4"/>
      <c r="M950" s="8"/>
    </row>
    <row r="951" spans="12:13" ht="14.5" x14ac:dyDescent="0.35">
      <c r="L951" s="4"/>
      <c r="M951" s="8"/>
    </row>
    <row r="952" spans="12:13" ht="14.5" x14ac:dyDescent="0.35">
      <c r="L952" s="4"/>
      <c r="M952" s="8"/>
    </row>
    <row r="953" spans="12:13" ht="14.5" x14ac:dyDescent="0.35">
      <c r="L953" s="4"/>
      <c r="M953" s="8"/>
    </row>
    <row r="954" spans="12:13" ht="14.5" x14ac:dyDescent="0.35">
      <c r="L954" s="4"/>
      <c r="M954" s="8"/>
    </row>
    <row r="955" spans="12:13" ht="14.5" x14ac:dyDescent="0.35">
      <c r="L955" s="4"/>
      <c r="M955" s="8"/>
    </row>
    <row r="956" spans="12:13" ht="14.5" x14ac:dyDescent="0.35">
      <c r="L956" s="4"/>
      <c r="M956" s="8"/>
    </row>
    <row r="957" spans="12:13" ht="14.5" x14ac:dyDescent="0.35">
      <c r="L957" s="4"/>
      <c r="M957" s="8"/>
    </row>
    <row r="958" spans="12:13" ht="14.5" x14ac:dyDescent="0.35">
      <c r="L958" s="4"/>
      <c r="M958" s="8"/>
    </row>
    <row r="959" spans="12:13" ht="14.5" x14ac:dyDescent="0.35">
      <c r="L959" s="4"/>
      <c r="M959" s="8"/>
    </row>
    <row r="960" spans="12:13" ht="14.5" x14ac:dyDescent="0.35">
      <c r="L960" s="4"/>
      <c r="M960" s="8"/>
    </row>
    <row r="961" spans="12:13" ht="14.5" x14ac:dyDescent="0.35">
      <c r="L961" s="4"/>
      <c r="M961" s="8"/>
    </row>
    <row r="962" spans="12:13" ht="14.5" x14ac:dyDescent="0.35">
      <c r="L962" s="4"/>
      <c r="M962" s="8"/>
    </row>
    <row r="963" spans="12:13" ht="14.5" x14ac:dyDescent="0.35">
      <c r="L963" s="4"/>
      <c r="M963" s="8"/>
    </row>
    <row r="964" spans="12:13" ht="14.5" x14ac:dyDescent="0.35">
      <c r="L964" s="4"/>
      <c r="M964" s="8"/>
    </row>
    <row r="965" spans="12:13" ht="14.5" x14ac:dyDescent="0.35">
      <c r="L965" s="4"/>
      <c r="M965" s="8"/>
    </row>
    <row r="966" spans="12:13" ht="14.5" x14ac:dyDescent="0.35">
      <c r="L966" s="4"/>
      <c r="M966" s="8"/>
    </row>
    <row r="967" spans="12:13" ht="14.5" x14ac:dyDescent="0.35">
      <c r="L967" s="4"/>
      <c r="M967" s="8"/>
    </row>
    <row r="968" spans="12:13" ht="14.5" x14ac:dyDescent="0.35">
      <c r="L968" s="4"/>
      <c r="M968" s="8"/>
    </row>
    <row r="969" spans="12:13" ht="14.5" x14ac:dyDescent="0.35">
      <c r="L969" s="4"/>
      <c r="M969" s="8"/>
    </row>
    <row r="970" spans="12:13" ht="14.5" x14ac:dyDescent="0.35">
      <c r="L970" s="4"/>
      <c r="M970" s="8"/>
    </row>
    <row r="971" spans="12:13" ht="14.5" x14ac:dyDescent="0.35">
      <c r="L971" s="4"/>
      <c r="M971" s="8"/>
    </row>
    <row r="972" spans="12:13" ht="14.5" x14ac:dyDescent="0.35">
      <c r="L972" s="4"/>
      <c r="M972" s="8"/>
    </row>
    <row r="973" spans="12:13" ht="14.5" x14ac:dyDescent="0.35">
      <c r="L973" s="4"/>
      <c r="M973" s="8"/>
    </row>
    <row r="974" spans="12:13" ht="14.5" x14ac:dyDescent="0.35">
      <c r="L974" s="4"/>
      <c r="M974" s="8"/>
    </row>
    <row r="975" spans="12:13" ht="14.5" x14ac:dyDescent="0.35">
      <c r="L975" s="4"/>
      <c r="M975" s="8"/>
    </row>
    <row r="976" spans="12:13" ht="14.5" x14ac:dyDescent="0.35">
      <c r="L976" s="4"/>
      <c r="M976" s="8"/>
    </row>
    <row r="977" spans="12:13" ht="14.5" x14ac:dyDescent="0.35">
      <c r="L977" s="4"/>
      <c r="M977" s="8"/>
    </row>
    <row r="978" spans="12:13" ht="14.5" x14ac:dyDescent="0.35">
      <c r="L978" s="4"/>
      <c r="M978" s="8"/>
    </row>
    <row r="979" spans="12:13" ht="14.5" x14ac:dyDescent="0.35">
      <c r="L979" s="4"/>
      <c r="M979" s="8"/>
    </row>
    <row r="980" spans="12:13" ht="14.5" x14ac:dyDescent="0.35">
      <c r="L980" s="4"/>
      <c r="M980" s="8"/>
    </row>
    <row r="981" spans="12:13" ht="14.5" x14ac:dyDescent="0.35">
      <c r="L981" s="4"/>
      <c r="M981" s="8"/>
    </row>
    <row r="982" spans="12:13" ht="14.5" x14ac:dyDescent="0.35">
      <c r="L982" s="4"/>
      <c r="M982" s="8"/>
    </row>
    <row r="983" spans="12:13" ht="14.5" x14ac:dyDescent="0.35">
      <c r="L983" s="4"/>
      <c r="M983" s="8"/>
    </row>
    <row r="984" spans="12:13" ht="14.5" x14ac:dyDescent="0.35">
      <c r="L984" s="4"/>
      <c r="M984" s="8"/>
    </row>
    <row r="985" spans="12:13" ht="14.5" x14ac:dyDescent="0.35">
      <c r="L985" s="4"/>
      <c r="M985" s="8"/>
    </row>
    <row r="986" spans="12:13" ht="14.5" x14ac:dyDescent="0.35">
      <c r="L986" s="4"/>
      <c r="M986" s="8"/>
    </row>
    <row r="987" spans="12:13" ht="14.5" x14ac:dyDescent="0.35">
      <c r="L987" s="4"/>
      <c r="M987" s="8"/>
    </row>
    <row r="988" spans="12:13" ht="14.5" x14ac:dyDescent="0.35">
      <c r="L988" s="4"/>
      <c r="M988" s="8"/>
    </row>
    <row r="989" spans="12:13" ht="14.5" x14ac:dyDescent="0.35">
      <c r="L989" s="4"/>
      <c r="M989" s="8"/>
    </row>
    <row r="990" spans="12:13" ht="14.5" x14ac:dyDescent="0.35">
      <c r="L990" s="4"/>
      <c r="M990" s="8"/>
    </row>
    <row r="991" spans="12:13" ht="14.5" x14ac:dyDescent="0.35">
      <c r="L991" s="4"/>
      <c r="M991" s="8"/>
    </row>
    <row r="992" spans="12:13" ht="14.5" x14ac:dyDescent="0.35">
      <c r="L992" s="4"/>
      <c r="M992" s="8"/>
    </row>
    <row r="993" spans="12:13" ht="14.5" x14ac:dyDescent="0.35">
      <c r="L993" s="4"/>
      <c r="M993" s="8"/>
    </row>
    <row r="994" spans="12:13" ht="14.5" x14ac:dyDescent="0.35">
      <c r="L994" s="4"/>
      <c r="M994" s="8"/>
    </row>
    <row r="995" spans="12:13" ht="14.5" x14ac:dyDescent="0.35">
      <c r="L995" s="4"/>
      <c r="M995" s="8"/>
    </row>
    <row r="996" spans="12:13" ht="14.5" x14ac:dyDescent="0.35">
      <c r="L996" s="4"/>
      <c r="M996" s="8"/>
    </row>
    <row r="997" spans="12:13" ht="14.5" x14ac:dyDescent="0.35">
      <c r="L997" s="4"/>
      <c r="M997" s="8"/>
    </row>
    <row r="998" spans="12:13" ht="14.5" x14ac:dyDescent="0.35">
      <c r="L998" s="4"/>
      <c r="M998" s="8"/>
    </row>
    <row r="999" spans="12:13" ht="14.5" x14ac:dyDescent="0.35">
      <c r="L999" s="4"/>
      <c r="M999" s="8"/>
    </row>
    <row r="1000" spans="12:13" ht="14.5" x14ac:dyDescent="0.35">
      <c r="L1000" s="4"/>
      <c r="M1000" s="8"/>
    </row>
    <row r="1001" spans="12:13" ht="15" customHeight="1" x14ac:dyDescent="0.35">
      <c r="L1001" s="4"/>
      <c r="M1001" s="8"/>
    </row>
    <row r="1002" spans="12:13" ht="15" customHeight="1" x14ac:dyDescent="0.35">
      <c r="L1002" s="4"/>
      <c r="M1002" s="8"/>
    </row>
    <row r="1003" spans="12:13" ht="15" customHeight="1" x14ac:dyDescent="0.35">
      <c r="L1003" s="4"/>
      <c r="M1003" s="8"/>
    </row>
    <row r="1004" spans="12:13" ht="15" customHeight="1" x14ac:dyDescent="0.35">
      <c r="L1004" s="4"/>
      <c r="M1004" s="8"/>
    </row>
  </sheetData>
  <dataValidations count="2">
    <dataValidation type="list" allowBlank="1" showInputMessage="1" showErrorMessage="1" sqref="M4:M1004" xr:uid="{00000000-0002-0000-0600-000000000000}">
      <formula1>IF($H4="density",DeP,IF($H4="particle size",PaP,IF($H4="aggregate",AgP,IF($H4="chemical",ChP,IF($H4="physical (other)",PhP,IF($H4="thermal",ThP,IF($H4="compound specific",CoP)))))))</formula1>
    </dataValidation>
    <dataValidation type="list" allowBlank="1" showInputMessage="1" showErrorMessage="1" sqref="L4:L1004" xr:uid="{00000000-0002-0000-0600-000001000000}">
      <formula1>IF($H4="density",DeA,IF($H4="particle size",PaA,IF($H4="aggregate",AgA,IF($H4="chemical",ChA,IF($H4="physical (other)",PhA,IF($H4="thermal",ThA,IF($H4="compound specific",CoA)))))))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600-000003000000}">
          <x14:formula1>
            <xm:f>'controlled vocabulary'!$AZ$4:$AZ$8</xm:f>
          </x14:formula1>
          <xm:sqref>AN4:AN1048576</xm:sqref>
        </x14:dataValidation>
        <x14:dataValidation type="list" allowBlank="1" showInputMessage="1" showErrorMessage="1" xr:uid="{00000000-0002-0000-0600-000004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600-000006000000}">
          <x14:formula1>
            <xm:f>'controlled vocabulary'!$AT$4:$AT$10</xm:f>
          </x14:formula1>
          <xm:sqref>H4:H1048576</xm:sqref>
        </x14:dataValidation>
        <x14:dataValidation type="list" allowBlank="1" showInputMessage="1" showErrorMessage="1" xr:uid="{00000000-0002-0000-0600-000007000000}">
          <x14:formula1>
            <xm:f>'controlled vocabulary'!$AX$4:$AX$13</xm:f>
          </x14:formula1>
          <xm:sqref>I4:I1048576</xm:sqref>
        </x14:dataValidation>
        <x14:dataValidation type="list" allowBlank="1" showInputMessage="1" showErrorMessage="1" xr:uid="{00000000-0002-0000-0600-000008000000}">
          <x14:formula1>
            <xm:f>'controlled vocabulary'!$AW$4:$AW$8</xm:f>
          </x14:formula1>
          <xm:sqref>G4:G1048576</xm:sqref>
        </x14:dataValidation>
        <x14:dataValidation type="list" allowBlank="1" showInputMessage="1" showErrorMessage="1" xr:uid="{00000000-0002-0000-0600-000009000000}">
          <x14:formula1>
            <xm:f>'controlled vocabulary'!#REF!</xm:f>
          </x14:formula1>
          <xm:sqref>L1005:M1048576</xm:sqref>
        </x14:dataValidation>
        <x14:dataValidation type="list" allowBlank="1" showInputMessage="1" showErrorMessage="1" xr:uid="{00000000-0002-0000-0600-000002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600-000005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600-00000A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200"/>
  <sheetViews>
    <sheetView workbookViewId="0">
      <pane xSplit="7" ySplit="3" topLeftCell="X4" activePane="bottomRight" state="frozen"/>
      <selection pane="topRight" activeCell="H1" sqref="H1"/>
      <selection pane="bottomLeft" activeCell="A4" sqref="A4"/>
      <selection pane="bottomRight" activeCell="W1" sqref="W1:AG1"/>
    </sheetView>
  </sheetViews>
  <sheetFormatPr defaultColWidth="8.81640625" defaultRowHeight="14.5" x14ac:dyDescent="0.35"/>
  <cols>
    <col min="1" max="1" width="14.6328125" style="3" customWidth="1"/>
    <col min="2" max="2" width="11.36328125" style="3" bestFit="1" customWidth="1"/>
    <col min="3" max="3" width="14.36328125" bestFit="1" customWidth="1"/>
    <col min="4" max="4" width="18.6328125" style="9" customWidth="1"/>
    <col min="5" max="5" width="13.453125" style="3" bestFit="1" customWidth="1"/>
    <col min="6" max="6" width="10.36328125" style="3" customWidth="1"/>
    <col min="7" max="7" width="12.1796875" style="3" customWidth="1"/>
    <col min="8" max="8" width="11" style="3" customWidth="1"/>
    <col min="9" max="9" width="10.81640625" style="108" bestFit="1" customWidth="1"/>
    <col min="10" max="10" width="11" style="108" customWidth="1"/>
    <col min="11" max="11" width="10.81640625" style="108" customWidth="1"/>
    <col min="12" max="12" width="18" style="3" customWidth="1"/>
    <col min="13" max="15" width="15.6328125" style="3" customWidth="1"/>
    <col min="16" max="16" width="8.81640625" style="3"/>
    <col min="17" max="17" width="19.81640625" style="3" customWidth="1"/>
    <col min="18" max="18" width="15.453125" style="3" customWidth="1"/>
    <col min="19" max="19" width="16.453125" style="3" bestFit="1" customWidth="1"/>
    <col min="20" max="20" width="21.1796875" style="3" customWidth="1"/>
    <col min="21" max="21" width="12.453125" style="3" customWidth="1"/>
    <col min="22" max="16384" width="8.81640625" style="3"/>
  </cols>
  <sheetData>
    <row r="1" spans="1:33" s="21" customFormat="1" ht="50" x14ac:dyDescent="0.35">
      <c r="A1" s="18" t="s">
        <v>637</v>
      </c>
      <c r="B1" s="18" t="s">
        <v>14</v>
      </c>
      <c r="C1" s="18" t="s">
        <v>427</v>
      </c>
      <c r="D1" s="18" t="s">
        <v>458</v>
      </c>
      <c r="E1" s="100" t="s">
        <v>550</v>
      </c>
      <c r="F1" s="18" t="s">
        <v>777</v>
      </c>
      <c r="G1" s="18" t="s">
        <v>367</v>
      </c>
      <c r="H1" s="24" t="s">
        <v>368</v>
      </c>
      <c r="I1" s="105" t="s">
        <v>695</v>
      </c>
      <c r="J1" s="105" t="s">
        <v>696</v>
      </c>
      <c r="K1" s="105" t="s">
        <v>694</v>
      </c>
      <c r="L1" s="90" t="s">
        <v>369</v>
      </c>
      <c r="M1" s="90" t="s">
        <v>370</v>
      </c>
      <c r="N1" s="90" t="s">
        <v>899</v>
      </c>
      <c r="O1" s="90" t="s">
        <v>900</v>
      </c>
      <c r="P1" s="90" t="s">
        <v>371</v>
      </c>
      <c r="Q1" s="90" t="s">
        <v>372</v>
      </c>
      <c r="R1" s="90" t="s">
        <v>373</v>
      </c>
      <c r="S1" s="90" t="s">
        <v>729</v>
      </c>
      <c r="T1" s="90" t="s">
        <v>374</v>
      </c>
      <c r="U1" s="90" t="s">
        <v>375</v>
      </c>
      <c r="V1" s="90" t="s">
        <v>722</v>
      </c>
      <c r="W1" s="62" t="s">
        <v>376</v>
      </c>
      <c r="X1" s="62" t="s">
        <v>667</v>
      </c>
      <c r="Y1" s="62" t="s">
        <v>377</v>
      </c>
      <c r="Z1" s="62" t="s">
        <v>378</v>
      </c>
      <c r="AA1" s="62" t="s">
        <v>379</v>
      </c>
      <c r="AB1" s="62" t="s">
        <v>380</v>
      </c>
      <c r="AC1" s="62" t="s">
        <v>381</v>
      </c>
      <c r="AD1" s="35" t="s">
        <v>382</v>
      </c>
      <c r="AE1" s="62" t="s">
        <v>383</v>
      </c>
      <c r="AF1" s="62" t="s">
        <v>384</v>
      </c>
      <c r="AG1" s="35" t="s">
        <v>385</v>
      </c>
    </row>
    <row r="2" spans="1:33" s="21" customFormat="1" ht="70.5" customHeight="1" x14ac:dyDescent="0.35">
      <c r="A2" s="22" t="s">
        <v>638</v>
      </c>
      <c r="B2" s="26" t="s">
        <v>16</v>
      </c>
      <c r="C2" s="26" t="s">
        <v>300</v>
      </c>
      <c r="D2" s="26" t="s">
        <v>771</v>
      </c>
      <c r="E2" s="22" t="s">
        <v>366</v>
      </c>
      <c r="F2" s="22" t="s">
        <v>778</v>
      </c>
      <c r="G2" s="22" t="s">
        <v>723</v>
      </c>
      <c r="H2" s="22" t="s">
        <v>60</v>
      </c>
      <c r="I2" s="106" t="s">
        <v>700</v>
      </c>
      <c r="J2" s="106" t="s">
        <v>701</v>
      </c>
      <c r="K2" s="106" t="s">
        <v>699</v>
      </c>
      <c r="L2" s="91" t="s">
        <v>393</v>
      </c>
      <c r="M2" s="50"/>
      <c r="N2" s="91" t="s">
        <v>901</v>
      </c>
      <c r="O2" s="50" t="s">
        <v>902</v>
      </c>
      <c r="P2" s="50"/>
      <c r="Q2" s="50" t="s">
        <v>288</v>
      </c>
      <c r="R2" s="91" t="s">
        <v>689</v>
      </c>
      <c r="S2" s="91" t="s">
        <v>730</v>
      </c>
      <c r="T2" s="91" t="s">
        <v>391</v>
      </c>
      <c r="U2" s="91" t="s">
        <v>392</v>
      </c>
      <c r="V2" s="91"/>
      <c r="W2" s="43" t="s">
        <v>390</v>
      </c>
      <c r="X2" s="43" t="s">
        <v>668</v>
      </c>
      <c r="Y2" s="44" t="s">
        <v>86</v>
      </c>
      <c r="Z2" s="44" t="s">
        <v>87</v>
      </c>
      <c r="AA2" s="44" t="s">
        <v>88</v>
      </c>
      <c r="AB2" s="44" t="s">
        <v>295</v>
      </c>
      <c r="AC2" s="43" t="s">
        <v>389</v>
      </c>
      <c r="AD2" s="43" t="s">
        <v>388</v>
      </c>
      <c r="AE2" s="43" t="s">
        <v>294</v>
      </c>
      <c r="AF2" s="43" t="s">
        <v>387</v>
      </c>
      <c r="AG2" s="43" t="s">
        <v>386</v>
      </c>
    </row>
    <row r="3" spans="1:33" s="33" customFormat="1" ht="18" customHeight="1" x14ac:dyDescent="0.35">
      <c r="A3" s="28" t="s">
        <v>331</v>
      </c>
      <c r="B3" s="27"/>
      <c r="C3" s="66"/>
      <c r="D3" s="27"/>
      <c r="E3" s="28"/>
      <c r="F3" s="28"/>
      <c r="G3" s="28"/>
      <c r="H3" s="28"/>
      <c r="I3" s="107" t="s">
        <v>697</v>
      </c>
      <c r="J3" s="107" t="s">
        <v>34</v>
      </c>
      <c r="K3" s="107" t="s">
        <v>698</v>
      </c>
      <c r="L3" s="103" t="s">
        <v>270</v>
      </c>
      <c r="M3" s="104" t="s">
        <v>669</v>
      </c>
      <c r="N3" s="104" t="s">
        <v>903</v>
      </c>
      <c r="O3" s="104" t="s">
        <v>342</v>
      </c>
      <c r="P3" s="103" t="s">
        <v>287</v>
      </c>
      <c r="Q3" s="103"/>
      <c r="R3" s="103"/>
      <c r="S3" s="104" t="s">
        <v>731</v>
      </c>
      <c r="T3" s="103" t="s">
        <v>37</v>
      </c>
      <c r="U3" s="103"/>
      <c r="V3" s="103"/>
      <c r="W3" s="59" t="s">
        <v>131</v>
      </c>
      <c r="X3" s="59" t="s">
        <v>131</v>
      </c>
      <c r="Y3" s="59"/>
      <c r="Z3" s="59"/>
      <c r="AA3" s="59" t="s">
        <v>132</v>
      </c>
      <c r="AB3" s="59" t="s">
        <v>131</v>
      </c>
      <c r="AC3" s="59" t="s">
        <v>131</v>
      </c>
      <c r="AD3" s="55" t="s">
        <v>131</v>
      </c>
      <c r="AE3" s="59"/>
      <c r="AF3" s="59"/>
      <c r="AG3" s="55"/>
    </row>
    <row r="4" spans="1:33" x14ac:dyDescent="0.35">
      <c r="A4" s="13"/>
      <c r="B4" s="7"/>
      <c r="C4" s="3"/>
      <c r="D4" s="8"/>
    </row>
    <row r="5" spans="1:33" x14ac:dyDescent="0.35">
      <c r="A5" s="13"/>
      <c r="B5" s="7"/>
      <c r="C5" s="3"/>
      <c r="D5" s="8"/>
    </row>
    <row r="6" spans="1:33" x14ac:dyDescent="0.35">
      <c r="A6" s="13"/>
      <c r="B6" s="7"/>
      <c r="C6" s="3"/>
      <c r="D6" s="8"/>
    </row>
    <row r="7" spans="1:33" x14ac:dyDescent="0.35">
      <c r="A7" s="13"/>
      <c r="B7" s="7"/>
      <c r="C7" s="3"/>
      <c r="D7" s="8"/>
    </row>
    <row r="8" spans="1:33" x14ac:dyDescent="0.35">
      <c r="B8" s="7"/>
      <c r="C8" s="3"/>
    </row>
    <row r="9" spans="1:33" x14ac:dyDescent="0.35">
      <c r="B9" s="7"/>
      <c r="C9" s="3"/>
    </row>
    <row r="10" spans="1:33" x14ac:dyDescent="0.35">
      <c r="B10" s="7"/>
      <c r="C10" s="3"/>
    </row>
    <row r="11" spans="1:33" x14ac:dyDescent="0.35">
      <c r="B11" s="7"/>
      <c r="C11" s="3"/>
    </row>
    <row r="12" spans="1:33" x14ac:dyDescent="0.35">
      <c r="B12" s="7"/>
      <c r="C12" s="3"/>
    </row>
    <row r="13" spans="1:33" x14ac:dyDescent="0.35">
      <c r="B13" s="7"/>
      <c r="C13" s="3"/>
    </row>
    <row r="14" spans="1:33" x14ac:dyDescent="0.35">
      <c r="B14" s="7"/>
      <c r="C14" s="3"/>
    </row>
    <row r="15" spans="1:33" x14ac:dyDescent="0.35">
      <c r="B15" s="7"/>
      <c r="C15" s="3"/>
    </row>
    <row r="16" spans="1:33" x14ac:dyDescent="0.35">
      <c r="B16" s="7"/>
      <c r="C16" s="3"/>
    </row>
    <row r="17" spans="2:3" x14ac:dyDescent="0.35">
      <c r="B17" s="7"/>
      <c r="C17" s="3"/>
    </row>
    <row r="18" spans="2:3" x14ac:dyDescent="0.35">
      <c r="B18" s="9"/>
      <c r="C18" s="3"/>
    </row>
    <row r="19" spans="2:3" x14ac:dyDescent="0.35">
      <c r="B19" s="9"/>
      <c r="C19" s="3"/>
    </row>
    <row r="20" spans="2:3" x14ac:dyDescent="0.35">
      <c r="B20" s="9"/>
      <c r="C20" s="3"/>
    </row>
    <row r="21" spans="2:3" x14ac:dyDescent="0.35">
      <c r="B21" s="9"/>
      <c r="C21" s="3"/>
    </row>
    <row r="22" spans="2:3" x14ac:dyDescent="0.35">
      <c r="B22" s="9"/>
      <c r="C22" s="3"/>
    </row>
    <row r="23" spans="2:3" x14ac:dyDescent="0.35">
      <c r="B23" s="9"/>
      <c r="C23" s="3"/>
    </row>
    <row r="24" spans="2:3" x14ac:dyDescent="0.35">
      <c r="B24" s="9"/>
      <c r="C24" s="3"/>
    </row>
    <row r="25" spans="2:3" x14ac:dyDescent="0.35">
      <c r="B25" s="9"/>
      <c r="C25" s="3"/>
    </row>
    <row r="26" spans="2:3" x14ac:dyDescent="0.35">
      <c r="B26" s="9"/>
      <c r="C26" s="3"/>
    </row>
    <row r="27" spans="2:3" x14ac:dyDescent="0.35">
      <c r="B27" s="9"/>
      <c r="C27" s="3"/>
    </row>
    <row r="28" spans="2:3" x14ac:dyDescent="0.35">
      <c r="B28" s="9"/>
      <c r="C28" s="3"/>
    </row>
    <row r="29" spans="2:3" x14ac:dyDescent="0.35">
      <c r="B29" s="9"/>
      <c r="C29" s="3"/>
    </row>
    <row r="30" spans="2:3" x14ac:dyDescent="0.35">
      <c r="B30" s="9"/>
      <c r="C30" s="3"/>
    </row>
    <row r="31" spans="2:3" x14ac:dyDescent="0.35">
      <c r="B31" s="9"/>
      <c r="C31" s="3"/>
    </row>
    <row r="32" spans="2:3" x14ac:dyDescent="0.35">
      <c r="B32" s="9"/>
      <c r="C32" s="3"/>
    </row>
    <row r="33" spans="2:3" x14ac:dyDescent="0.35">
      <c r="B33" s="9"/>
      <c r="C33" s="3"/>
    </row>
    <row r="34" spans="2:3" x14ac:dyDescent="0.35">
      <c r="B34" s="9"/>
      <c r="C34" s="3"/>
    </row>
    <row r="35" spans="2:3" x14ac:dyDescent="0.35">
      <c r="B35" s="9"/>
      <c r="C35" s="3"/>
    </row>
    <row r="36" spans="2:3" x14ac:dyDescent="0.35">
      <c r="B36" s="9"/>
      <c r="C36" s="3"/>
    </row>
    <row r="37" spans="2:3" x14ac:dyDescent="0.35">
      <c r="B37" s="9"/>
      <c r="C37" s="3"/>
    </row>
    <row r="38" spans="2:3" x14ac:dyDescent="0.35">
      <c r="B38" s="9"/>
      <c r="C38" s="3"/>
    </row>
    <row r="39" spans="2:3" x14ac:dyDescent="0.35">
      <c r="B39" s="9"/>
      <c r="C39" s="3"/>
    </row>
    <row r="40" spans="2:3" x14ac:dyDescent="0.35">
      <c r="B40" s="9"/>
      <c r="C40" s="3"/>
    </row>
    <row r="41" spans="2:3" x14ac:dyDescent="0.35">
      <c r="B41" s="9"/>
      <c r="C41" s="3"/>
    </row>
    <row r="42" spans="2:3" x14ac:dyDescent="0.35">
      <c r="B42" s="9"/>
      <c r="C42" s="3"/>
    </row>
    <row r="43" spans="2:3" x14ac:dyDescent="0.35">
      <c r="B43" s="9"/>
      <c r="C43" s="3"/>
    </row>
    <row r="44" spans="2:3" x14ac:dyDescent="0.35">
      <c r="B44" s="9"/>
      <c r="C44" s="3"/>
    </row>
    <row r="45" spans="2:3" x14ac:dyDescent="0.35">
      <c r="B45" s="9"/>
      <c r="C45" s="3"/>
    </row>
    <row r="46" spans="2:3" x14ac:dyDescent="0.35">
      <c r="B46" s="9"/>
      <c r="C46" s="3"/>
    </row>
    <row r="47" spans="2:3" x14ac:dyDescent="0.35">
      <c r="B47" s="9"/>
      <c r="C47" s="3"/>
    </row>
    <row r="48" spans="2:3" x14ac:dyDescent="0.35">
      <c r="B48" s="9"/>
      <c r="C48" s="3"/>
    </row>
    <row r="49" spans="2:3" x14ac:dyDescent="0.35">
      <c r="B49" s="9"/>
      <c r="C49" s="3"/>
    </row>
    <row r="50" spans="2:3" x14ac:dyDescent="0.35">
      <c r="B50" s="9"/>
      <c r="C50" s="3"/>
    </row>
    <row r="51" spans="2:3" x14ac:dyDescent="0.35">
      <c r="B51" s="9"/>
      <c r="C51" s="3"/>
    </row>
    <row r="52" spans="2:3" x14ac:dyDescent="0.35">
      <c r="B52" s="9"/>
      <c r="C52" s="3"/>
    </row>
    <row r="53" spans="2:3" x14ac:dyDescent="0.35">
      <c r="B53" s="9"/>
      <c r="C53" s="3"/>
    </row>
    <row r="54" spans="2:3" x14ac:dyDescent="0.35">
      <c r="B54" s="9"/>
      <c r="C54" s="3"/>
    </row>
    <row r="55" spans="2:3" x14ac:dyDescent="0.35">
      <c r="B55" s="9"/>
      <c r="C55" s="3"/>
    </row>
    <row r="56" spans="2:3" x14ac:dyDescent="0.35">
      <c r="B56" s="9"/>
      <c r="C56" s="3"/>
    </row>
    <row r="57" spans="2:3" x14ac:dyDescent="0.35">
      <c r="B57" s="9"/>
      <c r="C57" s="3"/>
    </row>
    <row r="58" spans="2:3" x14ac:dyDescent="0.35">
      <c r="B58" s="9"/>
      <c r="C58" s="3"/>
    </row>
    <row r="59" spans="2:3" x14ac:dyDescent="0.35">
      <c r="B59" s="9"/>
      <c r="C59" s="3"/>
    </row>
    <row r="60" spans="2:3" x14ac:dyDescent="0.35">
      <c r="B60" s="9"/>
      <c r="C60" s="3"/>
    </row>
    <row r="61" spans="2:3" x14ac:dyDescent="0.35">
      <c r="B61" s="9"/>
      <c r="C61" s="3"/>
    </row>
    <row r="62" spans="2:3" x14ac:dyDescent="0.35">
      <c r="B62" s="9"/>
      <c r="C62" s="3"/>
    </row>
    <row r="63" spans="2:3" x14ac:dyDescent="0.35">
      <c r="B63" s="9"/>
      <c r="C63" s="3"/>
    </row>
    <row r="64" spans="2:3" x14ac:dyDescent="0.35">
      <c r="B64" s="9"/>
    </row>
    <row r="65" spans="2:2" x14ac:dyDescent="0.35">
      <c r="B65" s="9"/>
    </row>
    <row r="66" spans="2:2" x14ac:dyDescent="0.35">
      <c r="B66" s="9"/>
    </row>
    <row r="67" spans="2:2" x14ac:dyDescent="0.35">
      <c r="B67" s="9"/>
    </row>
    <row r="68" spans="2:2" x14ac:dyDescent="0.35">
      <c r="B68" s="9"/>
    </row>
    <row r="69" spans="2:2" x14ac:dyDescent="0.35">
      <c r="B69" s="9"/>
    </row>
    <row r="70" spans="2:2" x14ac:dyDescent="0.35">
      <c r="B70" s="9"/>
    </row>
    <row r="71" spans="2:2" x14ac:dyDescent="0.35">
      <c r="B71" s="9"/>
    </row>
    <row r="72" spans="2:2" x14ac:dyDescent="0.35">
      <c r="B72" s="9"/>
    </row>
    <row r="73" spans="2:2" x14ac:dyDescent="0.35">
      <c r="B73" s="9"/>
    </row>
    <row r="74" spans="2:2" x14ac:dyDescent="0.35">
      <c r="B74" s="9"/>
    </row>
    <row r="75" spans="2:2" x14ac:dyDescent="0.35">
      <c r="B75" s="9"/>
    </row>
    <row r="76" spans="2:2" x14ac:dyDescent="0.35">
      <c r="B76" s="9"/>
    </row>
    <row r="77" spans="2:2" x14ac:dyDescent="0.35">
      <c r="B77" s="9"/>
    </row>
    <row r="78" spans="2:2" x14ac:dyDescent="0.35">
      <c r="B78" s="9"/>
    </row>
    <row r="79" spans="2:2" x14ac:dyDescent="0.35">
      <c r="B79" s="9"/>
    </row>
    <row r="80" spans="2:2" x14ac:dyDescent="0.35">
      <c r="B80" s="9"/>
    </row>
    <row r="81" spans="2:2" x14ac:dyDescent="0.35">
      <c r="B81" s="9"/>
    </row>
    <row r="82" spans="2:2" x14ac:dyDescent="0.35">
      <c r="B82" s="9"/>
    </row>
    <row r="83" spans="2:2" x14ac:dyDescent="0.35">
      <c r="B83" s="9"/>
    </row>
    <row r="84" spans="2:2" x14ac:dyDescent="0.35">
      <c r="B84" s="9"/>
    </row>
    <row r="85" spans="2:2" x14ac:dyDescent="0.35">
      <c r="B85" s="9"/>
    </row>
    <row r="86" spans="2:2" x14ac:dyDescent="0.35">
      <c r="B86" s="9"/>
    </row>
    <row r="87" spans="2:2" x14ac:dyDescent="0.35">
      <c r="B87" s="9"/>
    </row>
    <row r="88" spans="2:2" x14ac:dyDescent="0.35">
      <c r="B88" s="9"/>
    </row>
    <row r="89" spans="2:2" x14ac:dyDescent="0.35">
      <c r="B89" s="9"/>
    </row>
    <row r="90" spans="2:2" x14ac:dyDescent="0.35">
      <c r="B90" s="9"/>
    </row>
    <row r="91" spans="2:2" x14ac:dyDescent="0.35">
      <c r="B91" s="9"/>
    </row>
    <row r="92" spans="2:2" x14ac:dyDescent="0.35">
      <c r="B92" s="9"/>
    </row>
    <row r="93" spans="2:2" x14ac:dyDescent="0.35">
      <c r="B93" s="9"/>
    </row>
    <row r="94" spans="2:2" x14ac:dyDescent="0.35">
      <c r="B94" s="9"/>
    </row>
    <row r="95" spans="2:2" x14ac:dyDescent="0.35">
      <c r="B95" s="9"/>
    </row>
    <row r="96" spans="2:2" x14ac:dyDescent="0.35">
      <c r="B96" s="9"/>
    </row>
    <row r="97" spans="2:2" x14ac:dyDescent="0.35">
      <c r="B97" s="9"/>
    </row>
    <row r="98" spans="2:2" x14ac:dyDescent="0.35">
      <c r="B98" s="9"/>
    </row>
    <row r="99" spans="2:2" x14ac:dyDescent="0.35">
      <c r="B99" s="9"/>
    </row>
    <row r="100" spans="2:2" x14ac:dyDescent="0.35">
      <c r="B100" s="9"/>
    </row>
    <row r="101" spans="2:2" x14ac:dyDescent="0.35">
      <c r="B101" s="9"/>
    </row>
    <row r="102" spans="2:2" x14ac:dyDescent="0.35">
      <c r="B102" s="9"/>
    </row>
    <row r="103" spans="2:2" x14ac:dyDescent="0.35">
      <c r="B103" s="9"/>
    </row>
    <row r="104" spans="2:2" x14ac:dyDescent="0.35">
      <c r="B104" s="9"/>
    </row>
    <row r="105" spans="2:2" x14ac:dyDescent="0.35">
      <c r="B105" s="9"/>
    </row>
    <row r="106" spans="2:2" x14ac:dyDescent="0.35">
      <c r="B106" s="9"/>
    </row>
    <row r="107" spans="2:2" x14ac:dyDescent="0.35">
      <c r="B107" s="9"/>
    </row>
    <row r="108" spans="2:2" x14ac:dyDescent="0.35">
      <c r="B108" s="9"/>
    </row>
    <row r="109" spans="2:2" x14ac:dyDescent="0.35">
      <c r="B109" s="9"/>
    </row>
    <row r="110" spans="2:2" x14ac:dyDescent="0.35">
      <c r="B110" s="9"/>
    </row>
    <row r="111" spans="2:2" x14ac:dyDescent="0.35">
      <c r="B111" s="9"/>
    </row>
    <row r="112" spans="2:2" x14ac:dyDescent="0.35">
      <c r="B112" s="9"/>
    </row>
    <row r="113" spans="2:2" x14ac:dyDescent="0.35">
      <c r="B113" s="9"/>
    </row>
    <row r="114" spans="2:2" x14ac:dyDescent="0.35">
      <c r="B114" s="9"/>
    </row>
    <row r="115" spans="2:2" x14ac:dyDescent="0.35">
      <c r="B115" s="9"/>
    </row>
    <row r="116" spans="2:2" x14ac:dyDescent="0.35">
      <c r="B116" s="9"/>
    </row>
    <row r="117" spans="2:2" x14ac:dyDescent="0.35">
      <c r="B117" s="9"/>
    </row>
    <row r="118" spans="2:2" x14ac:dyDescent="0.35">
      <c r="B118" s="9"/>
    </row>
    <row r="119" spans="2:2" x14ac:dyDescent="0.35">
      <c r="B119" s="9"/>
    </row>
    <row r="120" spans="2:2" x14ac:dyDescent="0.35">
      <c r="B120" s="9"/>
    </row>
    <row r="121" spans="2:2" x14ac:dyDescent="0.35">
      <c r="B121" s="9"/>
    </row>
    <row r="122" spans="2:2" x14ac:dyDescent="0.35">
      <c r="B122" s="9"/>
    </row>
    <row r="123" spans="2:2" x14ac:dyDescent="0.35">
      <c r="B123" s="9"/>
    </row>
    <row r="124" spans="2:2" x14ac:dyDescent="0.35">
      <c r="B124" s="9"/>
    </row>
    <row r="125" spans="2:2" x14ac:dyDescent="0.35">
      <c r="B125" s="9"/>
    </row>
    <row r="126" spans="2:2" x14ac:dyDescent="0.35">
      <c r="B126" s="9"/>
    </row>
    <row r="127" spans="2:2" x14ac:dyDescent="0.35">
      <c r="B127" s="9"/>
    </row>
    <row r="128" spans="2:2" x14ac:dyDescent="0.35">
      <c r="B128" s="9"/>
    </row>
    <row r="129" spans="2:2" x14ac:dyDescent="0.35">
      <c r="B129" s="9"/>
    </row>
    <row r="130" spans="2:2" x14ac:dyDescent="0.35">
      <c r="B130" s="9"/>
    </row>
    <row r="131" spans="2:2" x14ac:dyDescent="0.35">
      <c r="B131" s="9"/>
    </row>
    <row r="132" spans="2:2" x14ac:dyDescent="0.35">
      <c r="B132" s="9"/>
    </row>
    <row r="133" spans="2:2" x14ac:dyDescent="0.35">
      <c r="B133" s="9"/>
    </row>
    <row r="134" spans="2:2" x14ac:dyDescent="0.35">
      <c r="B134" s="9"/>
    </row>
    <row r="135" spans="2:2" x14ac:dyDescent="0.35">
      <c r="B135" s="9"/>
    </row>
    <row r="136" spans="2:2" x14ac:dyDescent="0.35">
      <c r="B136" s="9"/>
    </row>
    <row r="137" spans="2:2" x14ac:dyDescent="0.35">
      <c r="B137" s="9"/>
    </row>
    <row r="138" spans="2:2" x14ac:dyDescent="0.35">
      <c r="B138" s="9"/>
    </row>
    <row r="139" spans="2:2" x14ac:dyDescent="0.35">
      <c r="B139" s="9"/>
    </row>
    <row r="140" spans="2:2" x14ac:dyDescent="0.35">
      <c r="B140" s="9"/>
    </row>
    <row r="141" spans="2:2" x14ac:dyDescent="0.35">
      <c r="B141" s="9"/>
    </row>
    <row r="142" spans="2:2" x14ac:dyDescent="0.35">
      <c r="B142" s="9"/>
    </row>
    <row r="143" spans="2:2" x14ac:dyDescent="0.35">
      <c r="B143" s="9"/>
    </row>
    <row r="144" spans="2:2" x14ac:dyDescent="0.35">
      <c r="B144" s="9"/>
    </row>
    <row r="145" spans="2:2" x14ac:dyDescent="0.35">
      <c r="B145" s="9"/>
    </row>
    <row r="146" spans="2:2" x14ac:dyDescent="0.35">
      <c r="B146" s="9"/>
    </row>
    <row r="147" spans="2:2" x14ac:dyDescent="0.35">
      <c r="B147" s="9"/>
    </row>
    <row r="148" spans="2:2" x14ac:dyDescent="0.35">
      <c r="B148" s="9"/>
    </row>
    <row r="149" spans="2:2" x14ac:dyDescent="0.35">
      <c r="B149" s="9"/>
    </row>
    <row r="150" spans="2:2" x14ac:dyDescent="0.35">
      <c r="B150" s="9"/>
    </row>
    <row r="151" spans="2:2" x14ac:dyDescent="0.35">
      <c r="B151" s="9"/>
    </row>
    <row r="152" spans="2:2" x14ac:dyDescent="0.35">
      <c r="B152" s="9"/>
    </row>
    <row r="153" spans="2:2" x14ac:dyDescent="0.35">
      <c r="B153" s="9"/>
    </row>
    <row r="154" spans="2:2" x14ac:dyDescent="0.35">
      <c r="B154" s="9"/>
    </row>
    <row r="155" spans="2:2" x14ac:dyDescent="0.35">
      <c r="B155" s="9"/>
    </row>
    <row r="156" spans="2:2" x14ac:dyDescent="0.35">
      <c r="B156" s="9"/>
    </row>
    <row r="157" spans="2:2" x14ac:dyDescent="0.35">
      <c r="B157" s="9"/>
    </row>
    <row r="158" spans="2:2" x14ac:dyDescent="0.35">
      <c r="B158" s="9"/>
    </row>
    <row r="159" spans="2:2" x14ac:dyDescent="0.35">
      <c r="B159" s="9"/>
    </row>
    <row r="160" spans="2:2" x14ac:dyDescent="0.35">
      <c r="B160" s="9"/>
    </row>
    <row r="161" spans="2:2" x14ac:dyDescent="0.35">
      <c r="B161" s="9"/>
    </row>
    <row r="162" spans="2:2" x14ac:dyDescent="0.35">
      <c r="B162" s="9"/>
    </row>
    <row r="163" spans="2:2" x14ac:dyDescent="0.35">
      <c r="B163" s="9"/>
    </row>
    <row r="164" spans="2:2" x14ac:dyDescent="0.35">
      <c r="B164" s="9"/>
    </row>
    <row r="165" spans="2:2" x14ac:dyDescent="0.35">
      <c r="B165" s="9"/>
    </row>
    <row r="166" spans="2:2" x14ac:dyDescent="0.35">
      <c r="B166" s="9"/>
    </row>
    <row r="167" spans="2:2" x14ac:dyDescent="0.35">
      <c r="B167" s="9"/>
    </row>
    <row r="168" spans="2:2" x14ac:dyDescent="0.35">
      <c r="B168" s="9"/>
    </row>
    <row r="169" spans="2:2" x14ac:dyDescent="0.35">
      <c r="B169" s="9"/>
    </row>
    <row r="170" spans="2:2" x14ac:dyDescent="0.35">
      <c r="B170" s="9"/>
    </row>
    <row r="171" spans="2:2" x14ac:dyDescent="0.35">
      <c r="B171" s="9"/>
    </row>
    <row r="172" spans="2:2" x14ac:dyDescent="0.35">
      <c r="B172" s="9"/>
    </row>
    <row r="173" spans="2:2" x14ac:dyDescent="0.35">
      <c r="B173" s="9"/>
    </row>
    <row r="174" spans="2:2" x14ac:dyDescent="0.35">
      <c r="B174" s="9"/>
    </row>
    <row r="175" spans="2:2" x14ac:dyDescent="0.35">
      <c r="B175" s="9"/>
    </row>
    <row r="176" spans="2:2" x14ac:dyDescent="0.35">
      <c r="B176" s="9"/>
    </row>
    <row r="177" spans="2:2" x14ac:dyDescent="0.35">
      <c r="B177" s="9"/>
    </row>
    <row r="178" spans="2:2" x14ac:dyDescent="0.35">
      <c r="B178" s="9"/>
    </row>
    <row r="179" spans="2:2" x14ac:dyDescent="0.35">
      <c r="B179" s="9"/>
    </row>
    <row r="180" spans="2:2" x14ac:dyDescent="0.35">
      <c r="B180" s="9"/>
    </row>
    <row r="181" spans="2:2" x14ac:dyDescent="0.35">
      <c r="B181" s="9"/>
    </row>
    <row r="182" spans="2:2" x14ac:dyDescent="0.35">
      <c r="B182" s="9"/>
    </row>
    <row r="183" spans="2:2" x14ac:dyDescent="0.35">
      <c r="B183" s="9"/>
    </row>
    <row r="184" spans="2:2" x14ac:dyDescent="0.35">
      <c r="B184" s="9"/>
    </row>
    <row r="185" spans="2:2" x14ac:dyDescent="0.35">
      <c r="B185" s="9"/>
    </row>
    <row r="186" spans="2:2" x14ac:dyDescent="0.35">
      <c r="B186" s="9"/>
    </row>
    <row r="187" spans="2:2" x14ac:dyDescent="0.35">
      <c r="B187" s="9"/>
    </row>
    <row r="188" spans="2:2" x14ac:dyDescent="0.35">
      <c r="B188" s="9"/>
    </row>
    <row r="189" spans="2:2" x14ac:dyDescent="0.35">
      <c r="B189" s="9"/>
    </row>
    <row r="190" spans="2:2" x14ac:dyDescent="0.35">
      <c r="B190" s="9"/>
    </row>
    <row r="191" spans="2:2" x14ac:dyDescent="0.35">
      <c r="B191" s="9"/>
    </row>
    <row r="192" spans="2:2" x14ac:dyDescent="0.35">
      <c r="B192" s="9"/>
    </row>
    <row r="193" spans="2:2" x14ac:dyDescent="0.35">
      <c r="B193" s="9"/>
    </row>
    <row r="194" spans="2:2" x14ac:dyDescent="0.35">
      <c r="B194" s="9"/>
    </row>
    <row r="195" spans="2:2" x14ac:dyDescent="0.35">
      <c r="B195" s="9"/>
    </row>
    <row r="196" spans="2:2" x14ac:dyDescent="0.35">
      <c r="B196" s="9"/>
    </row>
    <row r="197" spans="2:2" x14ac:dyDescent="0.35">
      <c r="B197" s="9"/>
    </row>
    <row r="198" spans="2:2" x14ac:dyDescent="0.35">
      <c r="B198" s="9"/>
    </row>
    <row r="199" spans="2:2" x14ac:dyDescent="0.35">
      <c r="B199" s="9"/>
    </row>
    <row r="200" spans="2:2" x14ac:dyDescent="0.35">
      <c r="B200" s="9"/>
    </row>
  </sheetData>
  <pageMargins left="0.7" right="0.7" top="0.75" bottom="0.75" header="0.3" footer="0.3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700-000001000000}">
          <x14:formula1>
            <xm:f>'controlled vocabulary'!$AQ$4:$AQ$6</xm:f>
          </x14:formula1>
          <xm:sqref>Q4:Q1048576</xm:sqref>
        </x14:dataValidation>
        <x14:dataValidation type="list" allowBlank="1" showInputMessage="1" showErrorMessage="1" xr:uid="{00000000-0002-0000-0700-000002000000}">
          <x14:formula1>
            <xm:f>'controlled vocabulary'!$AO$4:$AO$7</xm:f>
          </x14:formula1>
          <xm:sqref>M4:M1048576</xm:sqref>
        </x14:dataValidation>
        <x14:dataValidation type="list" allowBlank="1" showInputMessage="1" showErrorMessage="1" xr:uid="{00000000-0002-0000-0700-000003000000}">
          <x14:formula1>
            <xm:f>'controlled vocabulary'!$AS$4:$AS$5</xm:f>
          </x14:formula1>
          <xm:sqref>V4:V1048576</xm:sqref>
        </x14:dataValidation>
        <x14:dataValidation type="list" allowBlank="1" showInputMessage="1" showErrorMessage="1" xr:uid="{00000000-0002-0000-0700-000004000000}">
          <x14:formula1>
            <xm:f>'controlled vocabulary'!$AM$4:$AM$9</xm:f>
          </x14:formula1>
          <xm:sqref>G4:G1048576</xm:sqref>
        </x14:dataValidation>
        <x14:dataValidation type="list" allowBlank="1" showInputMessage="1" showErrorMessage="1" xr:uid="{00000000-0002-0000-0700-000005000000}">
          <x14:formula1>
            <xm:f>'controlled vocabulary'!$AR$4:$AR$5</xm:f>
          </x14:formula1>
          <xm:sqref>S4:S1048576</xm:sqref>
        </x14:dataValidation>
        <x14:dataValidation type="list" allowBlank="1" showInputMessage="1" showErrorMessage="1" xr:uid="{00000000-0002-0000-0700-000006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700-000008000000}">
          <x14:formula1>
            <xm:f>'controlled vocabulary'!$AP$4:$AP$5</xm:f>
          </x14:formula1>
          <xm:sqref>N4:N1048576</xm:sqref>
        </x14:dataValidation>
        <x14:dataValidation type="list" allowBlank="1" showInputMessage="1" showErrorMessage="1" xr:uid="{00000000-0002-0000-0700-000000000000}">
          <x14:formula1>
            <xm:f>OFFSET(site!$B$1,3,0,COUNTA(site!$B:$B)-2,1)</xm:f>
          </x14:formula1>
          <xm:sqref>B4:B200</xm:sqref>
        </x14:dataValidation>
        <x14:dataValidation type="list" allowBlank="1" showInputMessage="1" showErrorMessage="1" xr:uid="{00000000-0002-0000-0700-000007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700-000009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A1:BE1000"/>
  <sheetViews>
    <sheetView topLeftCell="AM1" workbookViewId="0">
      <selection activeCell="AW13" sqref="AW13"/>
    </sheetView>
  </sheetViews>
  <sheetFormatPr defaultColWidth="15.1796875" defaultRowHeight="15" customHeight="1" x14ac:dyDescent="0.35"/>
  <cols>
    <col min="1" max="2" width="12.453125" customWidth="1"/>
    <col min="3" max="3" width="9" bestFit="1" customWidth="1"/>
    <col min="4" max="4" width="9" customWidth="1"/>
    <col min="5" max="5" width="13.1796875" bestFit="1" customWidth="1"/>
    <col min="6" max="6" width="18.6328125" bestFit="1" customWidth="1"/>
    <col min="7" max="7" width="14.6328125" bestFit="1" customWidth="1"/>
    <col min="8" max="11" width="14.36328125" customWidth="1"/>
    <col min="12" max="12" width="13.453125" customWidth="1"/>
    <col min="13" max="13" width="12.6328125" customWidth="1"/>
    <col min="14" max="14" width="11.1796875" customWidth="1"/>
    <col min="15" max="16" width="10.1796875" customWidth="1"/>
    <col min="17" max="17" width="14.81640625" customWidth="1"/>
    <col min="18" max="18" width="10.1796875" customWidth="1"/>
    <col min="19" max="19" width="19.6328125" customWidth="1"/>
    <col min="20" max="20" width="10.1796875" customWidth="1"/>
    <col min="21" max="21" width="15.36328125" bestFit="1" customWidth="1"/>
    <col min="22" max="25" width="10.1796875" customWidth="1"/>
    <col min="26" max="27" width="13.6328125" customWidth="1"/>
    <col min="28" max="28" width="24.36328125" bestFit="1" customWidth="1"/>
    <col min="29" max="29" width="12" bestFit="1" customWidth="1"/>
    <col min="30" max="30" width="7.81640625" bestFit="1" customWidth="1"/>
    <col min="31" max="31" width="9.6328125" bestFit="1" customWidth="1"/>
    <col min="32" max="32" width="10.453125" bestFit="1" customWidth="1"/>
    <col min="33" max="36" width="10.453125" customWidth="1"/>
    <col min="37" max="37" width="15.36328125" bestFit="1" customWidth="1"/>
    <col min="38" max="38" width="17.81640625" bestFit="1" customWidth="1"/>
    <col min="39" max="39" width="13.453125" bestFit="1" customWidth="1"/>
    <col min="40" max="40" width="20.36328125" bestFit="1" customWidth="1"/>
    <col min="41" max="41" width="14.36328125" bestFit="1" customWidth="1"/>
    <col min="42" max="42" width="9.36328125" bestFit="1" customWidth="1"/>
    <col min="43" max="43" width="15.453125" customWidth="1"/>
    <col min="44" max="45" width="23.1796875" customWidth="1"/>
    <col min="46" max="46" width="16.1796875" bestFit="1" customWidth="1"/>
    <col min="47" max="47" width="16.1796875" customWidth="1"/>
    <col min="48" max="48" width="19.1796875" bestFit="1" customWidth="1"/>
    <col min="49" max="49" width="16.1796875" customWidth="1"/>
    <col min="50" max="50" width="18.81640625" bestFit="1" customWidth="1"/>
    <col min="51" max="51" width="18.81640625" customWidth="1"/>
    <col min="52" max="52" width="24.36328125" bestFit="1" customWidth="1"/>
    <col min="53" max="53" width="14.6328125" bestFit="1" customWidth="1"/>
    <col min="54" max="56" width="13.1796875" customWidth="1"/>
  </cols>
  <sheetData>
    <row r="1" spans="1:57" s="68" customFormat="1" ht="15" customHeight="1" x14ac:dyDescent="0.35">
      <c r="A1" s="67" t="s">
        <v>159</v>
      </c>
      <c r="B1" s="67" t="s">
        <v>160</v>
      </c>
      <c r="C1" s="157"/>
      <c r="D1" s="157"/>
      <c r="E1" s="69"/>
      <c r="F1" s="69"/>
      <c r="G1" s="69"/>
      <c r="H1" s="69"/>
      <c r="I1" s="69"/>
      <c r="J1" s="69"/>
      <c r="K1" s="69"/>
      <c r="L1" s="69"/>
      <c r="M1" s="69"/>
      <c r="N1" s="69"/>
      <c r="P1" s="70"/>
      <c r="Q1" s="67" t="s">
        <v>599</v>
      </c>
      <c r="R1" s="70"/>
      <c r="S1" s="70"/>
      <c r="T1" s="70"/>
      <c r="U1" s="70"/>
      <c r="V1" s="70"/>
      <c r="W1" s="70"/>
      <c r="X1" s="70"/>
      <c r="Y1" s="70"/>
      <c r="Z1" s="67" t="s">
        <v>161</v>
      </c>
      <c r="AA1" s="70"/>
      <c r="AB1" s="69"/>
      <c r="AC1" s="69"/>
      <c r="AD1" s="69"/>
      <c r="AE1" s="69"/>
      <c r="AF1" s="69"/>
      <c r="AG1" s="69"/>
      <c r="AH1" s="67" t="s">
        <v>600</v>
      </c>
      <c r="AI1" s="69"/>
      <c r="AJ1" s="69"/>
      <c r="AK1" s="69"/>
      <c r="AL1" s="69"/>
      <c r="AM1" s="67" t="s">
        <v>592</v>
      </c>
      <c r="AN1" s="70"/>
      <c r="AO1" s="69"/>
      <c r="AP1" s="69"/>
      <c r="AR1" s="69"/>
      <c r="AS1" s="69"/>
      <c r="AT1" s="67" t="s">
        <v>162</v>
      </c>
      <c r="AU1" s="179" t="s">
        <v>985</v>
      </c>
      <c r="AV1" s="179"/>
      <c r="AW1" s="157"/>
      <c r="AX1" s="69"/>
      <c r="AY1" s="69"/>
      <c r="AZ1" s="69"/>
    </row>
    <row r="2" spans="1:57" s="68" customFormat="1" ht="15" customHeight="1" x14ac:dyDescent="0.35">
      <c r="A2" s="71" t="s">
        <v>402</v>
      </c>
      <c r="B2" s="71" t="s">
        <v>864</v>
      </c>
      <c r="C2" s="71" t="s">
        <v>450</v>
      </c>
      <c r="D2" s="71" t="s">
        <v>432</v>
      </c>
      <c r="E2" s="71" t="s">
        <v>453</v>
      </c>
      <c r="F2" s="25" t="s">
        <v>787</v>
      </c>
      <c r="G2" s="71" t="s">
        <v>642</v>
      </c>
      <c r="H2" s="71" t="s">
        <v>441</v>
      </c>
      <c r="I2" s="71" t="s">
        <v>847</v>
      </c>
      <c r="J2" s="71" t="s">
        <v>848</v>
      </c>
      <c r="K2" s="71" t="s">
        <v>849</v>
      </c>
      <c r="L2" s="71" t="s">
        <v>454</v>
      </c>
      <c r="M2" s="71" t="s">
        <v>446</v>
      </c>
      <c r="N2" s="71" t="s">
        <v>447</v>
      </c>
      <c r="O2" s="71" t="s">
        <v>449</v>
      </c>
      <c r="P2" s="71" t="s">
        <v>766</v>
      </c>
      <c r="Q2" s="71" t="s">
        <v>404</v>
      </c>
      <c r="R2" s="71" t="s">
        <v>406</v>
      </c>
      <c r="S2" s="71" t="s">
        <v>407</v>
      </c>
      <c r="T2" s="71" t="s">
        <v>626</v>
      </c>
      <c r="U2" s="71" t="s">
        <v>617</v>
      </c>
      <c r="V2" s="71" t="s">
        <v>655</v>
      </c>
      <c r="W2" s="71" t="s">
        <v>409</v>
      </c>
      <c r="X2" s="71" t="s">
        <v>410</v>
      </c>
      <c r="Y2" s="71" t="s">
        <v>416</v>
      </c>
      <c r="Z2" s="71" t="s">
        <v>475</v>
      </c>
      <c r="AA2" s="72" t="s">
        <v>480</v>
      </c>
      <c r="AB2" s="71" t="s">
        <v>507</v>
      </c>
      <c r="AC2" s="71" t="s">
        <v>459</v>
      </c>
      <c r="AD2" s="71" t="s">
        <v>463</v>
      </c>
      <c r="AE2" s="71" t="s">
        <v>466</v>
      </c>
      <c r="AF2" s="71" t="s">
        <v>545</v>
      </c>
      <c r="AG2" s="71" t="s">
        <v>917</v>
      </c>
      <c r="AH2" s="71" t="s">
        <v>302</v>
      </c>
      <c r="AI2" s="71" t="s">
        <v>303</v>
      </c>
      <c r="AJ2" s="71" t="s">
        <v>304</v>
      </c>
      <c r="AK2" s="71" t="s">
        <v>628</v>
      </c>
      <c r="AL2" s="71" t="s">
        <v>329</v>
      </c>
      <c r="AM2" s="71" t="s">
        <v>670</v>
      </c>
      <c r="AN2" s="71" t="s">
        <v>720</v>
      </c>
      <c r="AO2" s="71" t="s">
        <v>673</v>
      </c>
      <c r="AP2" s="71" t="s">
        <v>899</v>
      </c>
      <c r="AQ2" s="71" t="s">
        <v>671</v>
      </c>
      <c r="AR2" s="71" t="s">
        <v>672</v>
      </c>
      <c r="AS2" s="71" t="s">
        <v>674</v>
      </c>
      <c r="AT2" s="73" t="s">
        <v>553</v>
      </c>
      <c r="AU2" s="73" t="s">
        <v>557</v>
      </c>
      <c r="AV2" s="73" t="s">
        <v>552</v>
      </c>
      <c r="AW2" s="73" t="s">
        <v>963</v>
      </c>
      <c r="AX2" s="71" t="s">
        <v>554</v>
      </c>
      <c r="AY2" s="71" t="s">
        <v>559</v>
      </c>
      <c r="AZ2" s="71" t="s">
        <v>686</v>
      </c>
    </row>
    <row r="3" spans="1:57" s="68" customFormat="1" ht="15" customHeight="1" x14ac:dyDescent="0.35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5" t="str">
        <f>HYPERLINK("http://www.water-research.net/course/drainageclass.pdf","Soil Drainage Classes")</f>
        <v>Soil Drainage Classes</v>
      </c>
      <c r="M3" s="75" t="str">
        <f>HYPERLINK("http://www.nrcs.usda.gov/Internet/FSE_DOCUMENTS/nrcs142p2_052523.pdf","NRCS")</f>
        <v>NRCS</v>
      </c>
      <c r="N3" s="75" t="str">
        <f>HYPERLINK("http://jersey.uoregon.edu/~mstrick/AskGeoMan/geoQuerry11.html","Mafic vs. Felsic")</f>
        <v>Mafic vs. Felsic</v>
      </c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 t="s">
        <v>163</v>
      </c>
      <c r="AA3" s="74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4"/>
      <c r="AO3" s="76"/>
      <c r="AP3" s="76"/>
      <c r="AQ3" s="76"/>
      <c r="AR3" s="76"/>
      <c r="AS3" s="76"/>
      <c r="AT3" s="74"/>
      <c r="AU3" s="74"/>
      <c r="AV3" s="74"/>
      <c r="AW3" s="74"/>
      <c r="AX3" s="74"/>
      <c r="AY3" s="74"/>
      <c r="AZ3" s="74"/>
    </row>
    <row r="4" spans="1:57" ht="12.75" customHeight="1" x14ac:dyDescent="0.35">
      <c r="A4" s="1" t="s">
        <v>164</v>
      </c>
      <c r="B4" s="1" t="s">
        <v>291</v>
      </c>
      <c r="C4" s="1" t="s">
        <v>165</v>
      </c>
      <c r="D4" s="1" t="s">
        <v>768</v>
      </c>
      <c r="E4" s="1" t="s">
        <v>166</v>
      </c>
      <c r="F4" s="1" t="s">
        <v>792</v>
      </c>
      <c r="G4" s="1" t="s">
        <v>645</v>
      </c>
      <c r="H4" s="1" t="s">
        <v>167</v>
      </c>
      <c r="I4" s="1" t="s">
        <v>850</v>
      </c>
      <c r="J4" s="1" t="s">
        <v>851</v>
      </c>
      <c r="K4" s="1" t="s">
        <v>852</v>
      </c>
      <c r="L4" s="1" t="s">
        <v>168</v>
      </c>
      <c r="M4" s="1" t="s">
        <v>169</v>
      </c>
      <c r="N4" s="1" t="s">
        <v>170</v>
      </c>
      <c r="O4" s="1" t="s">
        <v>171</v>
      </c>
      <c r="P4" s="14" t="s">
        <v>292</v>
      </c>
      <c r="Q4" s="1" t="s">
        <v>601</v>
      </c>
      <c r="R4" s="1" t="s">
        <v>605</v>
      </c>
      <c r="S4" s="1" t="s">
        <v>610</v>
      </c>
      <c r="T4" s="1" t="s">
        <v>614</v>
      </c>
      <c r="U4" s="1" t="s">
        <v>618</v>
      </c>
      <c r="V4" s="1" t="s">
        <v>656</v>
      </c>
      <c r="W4" s="1" t="s">
        <v>768</v>
      </c>
      <c r="X4" s="1" t="s">
        <v>768</v>
      </c>
      <c r="Y4" s="1" t="s">
        <v>635</v>
      </c>
      <c r="Z4" s="1" t="s">
        <v>275</v>
      </c>
      <c r="AA4" s="1" t="s">
        <v>247</v>
      </c>
      <c r="AB4" s="1" t="s">
        <v>172</v>
      </c>
      <c r="AC4" s="1" t="s">
        <v>768</v>
      </c>
      <c r="AD4" s="1" t="s">
        <v>768</v>
      </c>
      <c r="AE4" s="1" t="s">
        <v>769</v>
      </c>
      <c r="AF4" s="1" t="s">
        <v>546</v>
      </c>
      <c r="AG4" s="1" t="s">
        <v>768</v>
      </c>
      <c r="AH4" s="1" t="s">
        <v>623</v>
      </c>
      <c r="AI4" s="1" t="s">
        <v>605</v>
      </c>
      <c r="AJ4" s="1" t="s">
        <v>615</v>
      </c>
      <c r="AK4" s="1" t="s">
        <v>618</v>
      </c>
      <c r="AL4" s="1" t="s">
        <v>632</v>
      </c>
      <c r="AM4" s="1" t="s">
        <v>728</v>
      </c>
      <c r="AN4" s="1" t="s">
        <v>610</v>
      </c>
      <c r="AO4" s="14" t="s">
        <v>282</v>
      </c>
      <c r="AP4" s="1" t="s">
        <v>605</v>
      </c>
      <c r="AQ4" s="14" t="s">
        <v>278</v>
      </c>
      <c r="AR4" s="14" t="s">
        <v>280</v>
      </c>
      <c r="AS4" s="1" t="s">
        <v>285</v>
      </c>
      <c r="AT4" s="167" t="s">
        <v>919</v>
      </c>
      <c r="AU4" s="159" t="s">
        <v>239</v>
      </c>
      <c r="AV4" s="159" t="s">
        <v>267</v>
      </c>
      <c r="AW4" t="s">
        <v>964</v>
      </c>
      <c r="AX4" s="2" t="s">
        <v>173</v>
      </c>
      <c r="AY4" s="2" t="s">
        <v>768</v>
      </c>
      <c r="AZ4" s="2" t="s">
        <v>172</v>
      </c>
      <c r="BA4" s="2"/>
    </row>
    <row r="5" spans="1:57" ht="12.75" customHeight="1" x14ac:dyDescent="0.35">
      <c r="A5" s="1" t="s">
        <v>174</v>
      </c>
      <c r="B5" s="1" t="s">
        <v>292</v>
      </c>
      <c r="C5" s="1" t="s">
        <v>175</v>
      </c>
      <c r="D5" s="1"/>
      <c r="E5" s="1" t="s">
        <v>176</v>
      </c>
      <c r="F5" s="1" t="s">
        <v>793</v>
      </c>
      <c r="G5" s="1" t="s">
        <v>644</v>
      </c>
      <c r="H5" s="1" t="s">
        <v>177</v>
      </c>
      <c r="I5" s="1" t="s">
        <v>853</v>
      </c>
      <c r="J5" s="1" t="s">
        <v>854</v>
      </c>
      <c r="K5" s="1" t="s">
        <v>855</v>
      </c>
      <c r="L5" s="1" t="s">
        <v>178</v>
      </c>
      <c r="M5" s="1" t="s">
        <v>179</v>
      </c>
      <c r="N5" s="1" t="s">
        <v>180</v>
      </c>
      <c r="O5" s="1" t="s">
        <v>181</v>
      </c>
      <c r="P5" s="14" t="s">
        <v>291</v>
      </c>
      <c r="Q5" s="1" t="s">
        <v>602</v>
      </c>
      <c r="R5" s="1" t="s">
        <v>606</v>
      </c>
      <c r="S5" s="1" t="s">
        <v>611</v>
      </c>
      <c r="T5" s="1" t="s">
        <v>630</v>
      </c>
      <c r="U5" s="1" t="s">
        <v>619</v>
      </c>
      <c r="V5" s="1" t="s">
        <v>657</v>
      </c>
      <c r="W5" s="1"/>
      <c r="X5" s="1"/>
      <c r="Y5" s="1" t="s">
        <v>634</v>
      </c>
      <c r="Z5" s="1" t="s">
        <v>182</v>
      </c>
      <c r="AA5" s="1" t="s">
        <v>249</v>
      </c>
      <c r="AB5" s="1" t="s">
        <v>183</v>
      </c>
      <c r="AC5" s="1"/>
      <c r="AD5" s="1"/>
      <c r="AE5" s="1"/>
      <c r="AF5" s="1" t="s">
        <v>547</v>
      </c>
      <c r="AG5" s="1"/>
      <c r="AH5" s="1" t="s">
        <v>624</v>
      </c>
      <c r="AI5" s="1" t="s">
        <v>606</v>
      </c>
      <c r="AJ5" s="1" t="s">
        <v>627</v>
      </c>
      <c r="AK5" s="1" t="s">
        <v>619</v>
      </c>
      <c r="AL5" s="1" t="s">
        <v>633</v>
      </c>
      <c r="AM5" s="1" t="s">
        <v>724</v>
      </c>
      <c r="AN5" s="1" t="s">
        <v>611</v>
      </c>
      <c r="AO5" s="14" t="s">
        <v>283</v>
      </c>
      <c r="AP5" s="1" t="s">
        <v>606</v>
      </c>
      <c r="AQ5" s="14" t="s">
        <v>279</v>
      </c>
      <c r="AR5" s="14" t="s">
        <v>281</v>
      </c>
      <c r="AS5" s="1" t="s">
        <v>286</v>
      </c>
      <c r="AT5" s="168" t="s">
        <v>920</v>
      </c>
      <c r="AU5" s="159" t="s">
        <v>924</v>
      </c>
      <c r="AV5" s="159" t="s">
        <v>268</v>
      </c>
      <c r="AW5" s="156" t="s">
        <v>965</v>
      </c>
      <c r="AX5" s="2" t="s">
        <v>194</v>
      </c>
      <c r="AY5" s="2"/>
      <c r="AZ5" s="2" t="s">
        <v>183</v>
      </c>
    </row>
    <row r="6" spans="1:57" ht="12.75" customHeight="1" x14ac:dyDescent="0.35">
      <c r="A6" s="1" t="s">
        <v>184</v>
      </c>
      <c r="B6" s="1"/>
      <c r="C6" s="1" t="s">
        <v>185</v>
      </c>
      <c r="D6" s="1"/>
      <c r="E6" s="1" t="s">
        <v>186</v>
      </c>
      <c r="F6" s="1" t="s">
        <v>794</v>
      </c>
      <c r="G6" s="1" t="s">
        <v>209</v>
      </c>
      <c r="H6" s="1" t="s">
        <v>187</v>
      </c>
      <c r="I6" s="1" t="s">
        <v>856</v>
      </c>
      <c r="J6" s="1" t="s">
        <v>856</v>
      </c>
      <c r="K6" s="1" t="s">
        <v>857</v>
      </c>
      <c r="L6" s="1" t="s">
        <v>188</v>
      </c>
      <c r="M6" s="1" t="s">
        <v>189</v>
      </c>
      <c r="N6" s="1" t="s">
        <v>190</v>
      </c>
      <c r="O6" s="1" t="s">
        <v>191</v>
      </c>
      <c r="P6" s="1"/>
      <c r="Q6" s="1" t="s">
        <v>603</v>
      </c>
      <c r="R6" s="1" t="s">
        <v>609</v>
      </c>
      <c r="S6" s="1" t="s">
        <v>612</v>
      </c>
      <c r="T6" s="1" t="s">
        <v>639</v>
      </c>
      <c r="U6" s="1" t="s">
        <v>620</v>
      </c>
      <c r="V6" s="1" t="s">
        <v>270</v>
      </c>
      <c r="W6" s="1"/>
      <c r="X6" s="1"/>
      <c r="Y6" s="1" t="s">
        <v>649</v>
      </c>
      <c r="Z6" s="1" t="s">
        <v>192</v>
      </c>
      <c r="AA6" s="1" t="s">
        <v>248</v>
      </c>
      <c r="AB6" s="1" t="s">
        <v>193</v>
      </c>
      <c r="AC6" s="1"/>
      <c r="AD6" s="1"/>
      <c r="AE6" s="1"/>
      <c r="AF6" s="1" t="s">
        <v>666</v>
      </c>
      <c r="AG6" s="1"/>
      <c r="AH6" s="1" t="s">
        <v>625</v>
      </c>
      <c r="AI6" s="1" t="s">
        <v>609</v>
      </c>
      <c r="AJ6" s="1"/>
      <c r="AK6" s="1" t="s">
        <v>620</v>
      </c>
      <c r="AL6" s="1" t="s">
        <v>647</v>
      </c>
      <c r="AM6" s="1" t="s">
        <v>725</v>
      </c>
      <c r="AN6" s="1" t="s">
        <v>721</v>
      </c>
      <c r="AO6" s="14" t="s">
        <v>284</v>
      </c>
      <c r="AP6" s="14"/>
      <c r="AQ6" s="14" t="s">
        <v>209</v>
      </c>
      <c r="AR6" s="1"/>
      <c r="AS6" s="14"/>
      <c r="AT6" s="169" t="s">
        <v>921</v>
      </c>
      <c r="AU6" s="159" t="s">
        <v>925</v>
      </c>
      <c r="AV6" s="159" t="s">
        <v>269</v>
      </c>
      <c r="AW6" s="156" t="s">
        <v>966</v>
      </c>
      <c r="AX6" s="2" t="s">
        <v>34</v>
      </c>
      <c r="AY6" s="2"/>
      <c r="AZ6" s="2" t="s">
        <v>193</v>
      </c>
      <c r="BE6" s="68"/>
    </row>
    <row r="7" spans="1:57" ht="12.75" customHeight="1" x14ac:dyDescent="0.35">
      <c r="A7" s="1" t="s">
        <v>195</v>
      </c>
      <c r="B7" s="1"/>
      <c r="C7" s="1" t="s">
        <v>196</v>
      </c>
      <c r="D7" s="1"/>
      <c r="E7" s="1"/>
      <c r="F7" s="1" t="s">
        <v>795</v>
      </c>
      <c r="G7" s="1"/>
      <c r="H7" s="1" t="s">
        <v>197</v>
      </c>
      <c r="I7" s="1"/>
      <c r="J7" s="1"/>
      <c r="K7" s="1"/>
      <c r="L7" s="1" t="s">
        <v>198</v>
      </c>
      <c r="M7" s="1" t="s">
        <v>199</v>
      </c>
      <c r="N7" s="1"/>
      <c r="O7" s="1" t="s">
        <v>200</v>
      </c>
      <c r="P7" s="1"/>
      <c r="Q7" s="1" t="s">
        <v>604</v>
      </c>
      <c r="R7" s="1" t="s">
        <v>607</v>
      </c>
      <c r="S7" s="1" t="s">
        <v>613</v>
      </c>
      <c r="T7" s="1"/>
      <c r="U7" s="1" t="s">
        <v>621</v>
      </c>
      <c r="V7" s="1"/>
      <c r="W7" s="1"/>
      <c r="X7" s="1"/>
      <c r="Y7" s="1" t="s">
        <v>650</v>
      </c>
      <c r="Z7" s="1" t="s">
        <v>201</v>
      </c>
      <c r="AA7" s="1" t="s">
        <v>251</v>
      </c>
      <c r="AB7" s="1" t="s">
        <v>202</v>
      </c>
      <c r="AC7" s="1"/>
      <c r="AD7" s="1"/>
      <c r="AE7" s="1"/>
      <c r="AF7" s="1"/>
      <c r="AG7" s="1"/>
      <c r="AH7" s="1"/>
      <c r="AI7" s="1" t="s">
        <v>607</v>
      </c>
      <c r="AJ7" s="1"/>
      <c r="AK7" s="1" t="s">
        <v>621</v>
      </c>
      <c r="AL7" s="1" t="s">
        <v>648</v>
      </c>
      <c r="AM7" s="1" t="s">
        <v>726</v>
      </c>
      <c r="AN7" s="1"/>
      <c r="AO7" s="1" t="s">
        <v>770</v>
      </c>
      <c r="AP7" s="1"/>
      <c r="AQ7" s="1"/>
      <c r="AR7" s="1"/>
      <c r="AS7" s="14"/>
      <c r="AT7" s="170" t="s">
        <v>922</v>
      </c>
      <c r="AU7" s="159" t="s">
        <v>978</v>
      </c>
      <c r="AV7" s="160" t="s">
        <v>242</v>
      </c>
      <c r="AW7" s="156" t="s">
        <v>967</v>
      </c>
      <c r="AX7" s="2" t="s">
        <v>219</v>
      </c>
      <c r="AY7" s="2"/>
      <c r="AZ7" s="2" t="s">
        <v>202</v>
      </c>
    </row>
    <row r="8" spans="1:57" ht="12.75" customHeight="1" x14ac:dyDescent="0.35">
      <c r="A8" s="1" t="s">
        <v>203</v>
      </c>
      <c r="B8" s="1"/>
      <c r="C8" s="1" t="s">
        <v>204</v>
      </c>
      <c r="D8" s="1"/>
      <c r="E8" s="1"/>
      <c r="F8" s="1" t="s">
        <v>796</v>
      </c>
      <c r="G8" s="1"/>
      <c r="H8" s="1" t="s">
        <v>205</v>
      </c>
      <c r="I8" s="1"/>
      <c r="J8" s="1"/>
      <c r="K8" s="1"/>
      <c r="L8" s="1" t="s">
        <v>206</v>
      </c>
      <c r="M8" s="1" t="s">
        <v>207</v>
      </c>
      <c r="N8" s="1"/>
      <c r="O8" s="1" t="s">
        <v>208</v>
      </c>
      <c r="P8" s="1"/>
      <c r="Q8" s="1" t="s">
        <v>753</v>
      </c>
      <c r="R8" s="1" t="s">
        <v>608</v>
      </c>
      <c r="S8" s="1" t="s">
        <v>693</v>
      </c>
      <c r="T8" s="1"/>
      <c r="U8" s="1" t="s">
        <v>622</v>
      </c>
      <c r="V8" s="1"/>
      <c r="W8" s="1"/>
      <c r="X8" s="1"/>
      <c r="Y8" s="1" t="s">
        <v>651</v>
      </c>
      <c r="Z8" s="1" t="s">
        <v>912</v>
      </c>
      <c r="AA8" s="1" t="s">
        <v>250</v>
      </c>
      <c r="AB8" s="1" t="s">
        <v>209</v>
      </c>
      <c r="AC8" s="1"/>
      <c r="AD8" s="1"/>
      <c r="AE8" s="1"/>
      <c r="AF8" s="1"/>
      <c r="AG8" s="1"/>
      <c r="AH8" s="1"/>
      <c r="AI8" s="1" t="s">
        <v>608</v>
      </c>
      <c r="AJ8" s="1"/>
      <c r="AK8" s="1" t="s">
        <v>622</v>
      </c>
      <c r="AL8" s="1"/>
      <c r="AM8" s="1" t="s">
        <v>727</v>
      </c>
      <c r="AN8" s="1"/>
      <c r="AO8" s="1"/>
      <c r="AP8" s="1"/>
      <c r="AQ8" s="1"/>
      <c r="AR8" s="1"/>
      <c r="AS8" s="1"/>
      <c r="AT8" s="171" t="s">
        <v>968</v>
      </c>
      <c r="AU8" s="159" t="s">
        <v>977</v>
      </c>
      <c r="AV8" s="160" t="s">
        <v>912</v>
      </c>
      <c r="AW8" s="156" t="s">
        <v>982</v>
      </c>
      <c r="AX8" s="2" t="s">
        <v>270</v>
      </c>
      <c r="AY8" s="2"/>
      <c r="AZ8" s="2" t="s">
        <v>209</v>
      </c>
    </row>
    <row r="9" spans="1:57" ht="12.75" customHeight="1" x14ac:dyDescent="0.35">
      <c r="A9" s="1" t="s">
        <v>211</v>
      </c>
      <c r="B9" s="1"/>
      <c r="C9" s="1" t="s">
        <v>212</v>
      </c>
      <c r="D9" s="1"/>
      <c r="E9" s="1"/>
      <c r="F9" s="1" t="s">
        <v>797</v>
      </c>
      <c r="G9" s="1"/>
      <c r="H9" s="1" t="s">
        <v>213</v>
      </c>
      <c r="I9" s="1"/>
      <c r="J9" s="1"/>
      <c r="K9" s="1"/>
      <c r="L9" s="1" t="s">
        <v>214</v>
      </c>
      <c r="M9" s="1" t="s">
        <v>215</v>
      </c>
      <c r="N9" s="1"/>
      <c r="O9" s="1" t="s">
        <v>216</v>
      </c>
      <c r="P9" s="1"/>
      <c r="Q9" s="1" t="s">
        <v>754</v>
      </c>
      <c r="R9" s="1" t="s">
        <v>904</v>
      </c>
      <c r="S9" s="1"/>
      <c r="T9" s="1"/>
      <c r="U9" s="1" t="s">
        <v>763</v>
      </c>
      <c r="V9" s="1"/>
      <c r="W9" s="1"/>
      <c r="X9" s="1"/>
      <c r="Y9" s="1" t="s">
        <v>646</v>
      </c>
      <c r="Z9" s="1" t="s">
        <v>217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 t="s">
        <v>629</v>
      </c>
      <c r="AL9" s="1"/>
      <c r="AM9" s="1" t="s">
        <v>675</v>
      </c>
      <c r="AN9" s="1"/>
      <c r="AO9" s="1"/>
      <c r="AP9" s="1"/>
      <c r="AQ9" s="1"/>
      <c r="AR9" s="1"/>
      <c r="AS9" s="1"/>
      <c r="AT9" s="172" t="s">
        <v>916</v>
      </c>
      <c r="AU9" s="160" t="s">
        <v>210</v>
      </c>
      <c r="AV9" s="160" t="s">
        <v>275</v>
      </c>
      <c r="AX9" s="2" t="s">
        <v>271</v>
      </c>
      <c r="AY9" s="2"/>
      <c r="AZ9" s="2"/>
    </row>
    <row r="10" spans="1:57" ht="12.75" customHeight="1" x14ac:dyDescent="0.35">
      <c r="A10" s="1" t="s">
        <v>220</v>
      </c>
      <c r="B10" s="1"/>
      <c r="C10" s="1" t="s">
        <v>221</v>
      </c>
      <c r="D10" s="1"/>
      <c r="E10" s="1"/>
      <c r="F10" s="1" t="s">
        <v>798</v>
      </c>
      <c r="G10" s="1"/>
      <c r="H10" s="1" t="s">
        <v>222</v>
      </c>
      <c r="I10" s="1"/>
      <c r="J10" s="1"/>
      <c r="K10" s="1"/>
      <c r="L10" s="1" t="s">
        <v>223</v>
      </c>
      <c r="M10" s="1" t="s">
        <v>224</v>
      </c>
      <c r="N10" s="1"/>
      <c r="O10" s="1"/>
      <c r="P10" s="1"/>
      <c r="Q10" s="1"/>
      <c r="R10" s="1" t="s">
        <v>273</v>
      </c>
      <c r="S10" s="1"/>
      <c r="T10" s="1"/>
      <c r="U10" s="1"/>
      <c r="V10" s="1"/>
      <c r="W10" s="1"/>
      <c r="X10" s="1"/>
      <c r="Y10" s="1"/>
      <c r="Z10" s="1" t="s">
        <v>225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73" t="s">
        <v>923</v>
      </c>
      <c r="AU10" s="160" t="s">
        <v>218</v>
      </c>
      <c r="AV10" s="160" t="s">
        <v>926</v>
      </c>
      <c r="AX10" s="2" t="s">
        <v>272</v>
      </c>
      <c r="AY10" s="2"/>
      <c r="AZ10" s="2"/>
    </row>
    <row r="11" spans="1:57" ht="12.75" customHeight="1" x14ac:dyDescent="0.35">
      <c r="A11" s="1"/>
      <c r="B11" s="1"/>
      <c r="C11" s="1" t="s">
        <v>226</v>
      </c>
      <c r="D11" s="1"/>
      <c r="E11" s="1"/>
      <c r="F11" s="1" t="s">
        <v>799</v>
      </c>
      <c r="G11" s="1"/>
      <c r="H11" s="1" t="s">
        <v>773</v>
      </c>
      <c r="I11" s="1"/>
      <c r="J11" s="1"/>
      <c r="K11" s="1"/>
      <c r="L11" s="1"/>
      <c r="M11" s="1" t="s">
        <v>227</v>
      </c>
      <c r="N11" s="1"/>
      <c r="O11" s="1"/>
      <c r="P11" s="1"/>
      <c r="Q11" s="1"/>
      <c r="R11" s="1" t="s">
        <v>675</v>
      </c>
      <c r="S11" s="1"/>
      <c r="T11" s="1"/>
      <c r="U11" s="1"/>
      <c r="V11" s="1"/>
      <c r="W11" s="1"/>
      <c r="X11" s="1"/>
      <c r="Y11" s="1"/>
      <c r="Z11" s="1" t="s">
        <v>228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U11" s="160" t="s">
        <v>979</v>
      </c>
      <c r="AV11" s="160" t="s">
        <v>927</v>
      </c>
      <c r="AX11" s="2" t="s">
        <v>775</v>
      </c>
      <c r="AY11" s="2"/>
      <c r="AZ11" s="2"/>
    </row>
    <row r="12" spans="1:57" ht="12.75" customHeight="1" x14ac:dyDescent="0.35">
      <c r="A12" s="1"/>
      <c r="B12" s="1"/>
      <c r="C12" s="1"/>
      <c r="D12" s="1"/>
      <c r="E12" s="1"/>
      <c r="F12" s="1" t="s">
        <v>800</v>
      </c>
      <c r="G12" s="1"/>
      <c r="H12" s="1"/>
      <c r="I12" s="1"/>
      <c r="J12" s="1"/>
      <c r="K12" s="1"/>
      <c r="L12" s="1"/>
      <c r="M12" s="1" t="s">
        <v>774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 t="s">
        <v>229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U12" s="161" t="s">
        <v>210</v>
      </c>
      <c r="AV12" s="160" t="s">
        <v>981</v>
      </c>
      <c r="AX12" s="2" t="s">
        <v>915</v>
      </c>
      <c r="AY12" s="2"/>
      <c r="AZ12" s="2"/>
    </row>
    <row r="13" spans="1:57" ht="12.75" customHeight="1" x14ac:dyDescent="0.35">
      <c r="A13" s="1"/>
      <c r="B13" s="1"/>
      <c r="C13" s="1"/>
      <c r="D13" s="1"/>
      <c r="E13" s="1"/>
      <c r="F13" s="1" t="s">
        <v>801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 t="s">
        <v>230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U13" s="161" t="s">
        <v>218</v>
      </c>
      <c r="AV13" s="160" t="s">
        <v>980</v>
      </c>
      <c r="AW13" s="2"/>
      <c r="AX13" s="2" t="s">
        <v>972</v>
      </c>
      <c r="AY13" s="2"/>
      <c r="AZ13" s="2"/>
    </row>
    <row r="14" spans="1:57" ht="12.75" customHeight="1" x14ac:dyDescent="0.35">
      <c r="A14" s="1"/>
      <c r="B14" s="1"/>
      <c r="C14" s="1"/>
      <c r="D14" s="1"/>
      <c r="E14" s="1"/>
      <c r="F14" s="1" t="s">
        <v>802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 t="s">
        <v>231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U14" s="161" t="s">
        <v>930</v>
      </c>
      <c r="AV14" s="161" t="s">
        <v>928</v>
      </c>
      <c r="AW14" s="2"/>
      <c r="AX14" s="2"/>
      <c r="AY14" s="2"/>
      <c r="AZ14" s="2"/>
    </row>
    <row r="15" spans="1:57" ht="12.75" customHeight="1" x14ac:dyDescent="0.35">
      <c r="A15" s="1"/>
      <c r="B15" s="1"/>
      <c r="C15" s="1"/>
      <c r="D15" s="1"/>
      <c r="E15" s="1"/>
      <c r="F15" s="1" t="s">
        <v>803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 t="s">
        <v>242</v>
      </c>
      <c r="AA15" s="1"/>
      <c r="AB15" s="1"/>
      <c r="AC15" s="1"/>
      <c r="AD15" s="1"/>
      <c r="AE15" s="1"/>
      <c r="AF15" s="1"/>
      <c r="AG15" s="1"/>
      <c r="AH15" s="1"/>
      <c r="AI15" s="155"/>
      <c r="AJ15" s="1"/>
      <c r="AK15" s="1"/>
      <c r="AL15" s="1"/>
      <c r="AM15" s="1"/>
      <c r="AN15" s="1"/>
      <c r="AO15" s="1"/>
      <c r="AP15" s="1"/>
      <c r="AQ15" s="2"/>
      <c r="AR15" s="2"/>
      <c r="AS15" s="2"/>
      <c r="AT15" s="2"/>
      <c r="AU15" s="161" t="s">
        <v>931</v>
      </c>
      <c r="AV15" s="161" t="s">
        <v>929</v>
      </c>
      <c r="AW15" s="2"/>
      <c r="AX15" s="2"/>
      <c r="AY15" s="2"/>
      <c r="AZ15" s="2"/>
    </row>
    <row r="16" spans="1:57" ht="12.75" customHeight="1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 t="s">
        <v>274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2"/>
      <c r="AU16" s="161" t="s">
        <v>979</v>
      </c>
      <c r="AV16" s="162" t="s">
        <v>933</v>
      </c>
      <c r="AW16" s="2"/>
      <c r="AX16" s="2"/>
      <c r="AY16" s="2"/>
      <c r="AZ16" s="2"/>
    </row>
    <row r="17" spans="1:52" ht="12.75" customHeight="1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 t="s">
        <v>907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2"/>
      <c r="AU17" s="162" t="s">
        <v>932</v>
      </c>
      <c r="AV17" s="162" t="s">
        <v>240</v>
      </c>
      <c r="AW17" s="2"/>
      <c r="AX17" s="2"/>
      <c r="AY17" s="2"/>
      <c r="AZ17" s="2"/>
    </row>
    <row r="18" spans="1:52" ht="12.75" customHeight="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 t="s">
        <v>908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2"/>
      <c r="AU18" s="162" t="s">
        <v>934</v>
      </c>
      <c r="AV18" s="162" t="s">
        <v>244</v>
      </c>
      <c r="AW18" s="2"/>
      <c r="AX18" s="2"/>
      <c r="AY18" s="2"/>
      <c r="AZ18" s="2"/>
    </row>
    <row r="19" spans="1:52" ht="12.75" customHeight="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 t="s">
        <v>909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U19" s="162" t="s">
        <v>935</v>
      </c>
      <c r="AV19" s="162" t="s">
        <v>937</v>
      </c>
      <c r="AX19" s="2"/>
      <c r="AY19" s="2"/>
      <c r="AZ19" s="2"/>
    </row>
    <row r="20" spans="1:52" ht="12.75" customHeight="1" x14ac:dyDescent="0.35">
      <c r="A20" s="1"/>
      <c r="B20" s="1"/>
      <c r="C20" s="1"/>
      <c r="D20" s="1"/>
      <c r="E20" s="1"/>
      <c r="F20" s="1"/>
      <c r="G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U20" s="162" t="s">
        <v>936</v>
      </c>
      <c r="AV20" s="163" t="s">
        <v>939</v>
      </c>
      <c r="AX20" s="2"/>
      <c r="AY20" s="2"/>
      <c r="AZ20" s="2"/>
    </row>
    <row r="21" spans="1:52" ht="12.75" customHeight="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U21" s="162" t="s">
        <v>938</v>
      </c>
      <c r="AV21" s="163" t="s">
        <v>941</v>
      </c>
      <c r="AX21" s="2"/>
      <c r="AY21" s="2"/>
      <c r="AZ21" s="2"/>
    </row>
    <row r="22" spans="1:52" ht="12.75" customHeight="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U22" s="162" t="s">
        <v>940</v>
      </c>
      <c r="AV22" s="163" t="s">
        <v>943</v>
      </c>
      <c r="AX22" s="2"/>
      <c r="AY22" s="2"/>
      <c r="AZ22" s="2"/>
    </row>
    <row r="23" spans="1:52" ht="12.75" customHeight="1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U23" s="162" t="s">
        <v>942</v>
      </c>
      <c r="AV23" s="163" t="s">
        <v>969</v>
      </c>
      <c r="AX23" s="2"/>
      <c r="AY23" s="2"/>
      <c r="AZ23" s="2"/>
    </row>
    <row r="24" spans="1:52" ht="12.75" customHeight="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U24" s="162" t="s">
        <v>925</v>
      </c>
      <c r="AV24" s="163" t="s">
        <v>954</v>
      </c>
      <c r="AX24" s="2"/>
      <c r="AY24" s="2"/>
      <c r="AZ24" s="2"/>
    </row>
    <row r="25" spans="1:52" ht="12.75" customHeight="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U25" s="162" t="s">
        <v>944</v>
      </c>
      <c r="AV25" s="164" t="s">
        <v>772</v>
      </c>
    </row>
    <row r="26" spans="1:52" ht="12.75" customHeight="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U26" s="162" t="s">
        <v>945</v>
      </c>
      <c r="AV26" s="164" t="s">
        <v>240</v>
      </c>
    </row>
    <row r="27" spans="1:52" ht="12.75" customHeight="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U27" s="162" t="s">
        <v>946</v>
      </c>
      <c r="AV27" s="164" t="s">
        <v>243</v>
      </c>
    </row>
    <row r="28" spans="1:52" ht="12.75" customHeight="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O28" s="1"/>
      <c r="AP28" s="1"/>
      <c r="AQ28" s="1"/>
      <c r="AR28" s="1"/>
      <c r="AS28" s="1"/>
      <c r="AU28" s="162" t="s">
        <v>974</v>
      </c>
      <c r="AV28" s="164" t="s">
        <v>937</v>
      </c>
    </row>
    <row r="29" spans="1:52" ht="14.5" x14ac:dyDescent="0.35">
      <c r="AU29" s="162" t="s">
        <v>947</v>
      </c>
      <c r="AV29" s="164" t="s">
        <v>975</v>
      </c>
    </row>
    <row r="30" spans="1:52" ht="14.5" x14ac:dyDescent="0.35">
      <c r="AU30" s="162" t="s">
        <v>948</v>
      </c>
      <c r="AV30" s="165" t="s">
        <v>209</v>
      </c>
    </row>
    <row r="31" spans="1:52" ht="14.5" x14ac:dyDescent="0.35">
      <c r="AU31" s="162" t="s">
        <v>949</v>
      </c>
      <c r="AV31" s="166" t="s">
        <v>958</v>
      </c>
    </row>
    <row r="32" spans="1:52" ht="14.5" x14ac:dyDescent="0.35">
      <c r="AU32" s="162" t="s">
        <v>950</v>
      </c>
      <c r="AV32" s="166" t="s">
        <v>960</v>
      </c>
    </row>
    <row r="33" spans="47:48" ht="14.5" x14ac:dyDescent="0.35">
      <c r="AU33" s="163" t="s">
        <v>951</v>
      </c>
      <c r="AV33" s="166" t="s">
        <v>962</v>
      </c>
    </row>
    <row r="34" spans="47:48" ht="14.5" x14ac:dyDescent="0.35">
      <c r="AU34" s="163" t="s">
        <v>952</v>
      </c>
    </row>
    <row r="35" spans="47:48" ht="14.5" x14ac:dyDescent="0.35">
      <c r="AU35" s="162" t="s">
        <v>973</v>
      </c>
    </row>
    <row r="36" spans="47:48" ht="14.5" x14ac:dyDescent="0.35">
      <c r="AU36" s="162" t="s">
        <v>984</v>
      </c>
    </row>
    <row r="37" spans="47:48" ht="14.5" x14ac:dyDescent="0.35">
      <c r="AU37" s="164" t="s">
        <v>241</v>
      </c>
    </row>
    <row r="38" spans="47:48" ht="14.5" x14ac:dyDescent="0.35">
      <c r="AU38" s="164" t="s">
        <v>953</v>
      </c>
    </row>
    <row r="39" spans="47:48" ht="14.5" x14ac:dyDescent="0.35">
      <c r="AU39" s="165" t="s">
        <v>955</v>
      </c>
    </row>
    <row r="40" spans="47:48" ht="14.5" x14ac:dyDescent="0.35">
      <c r="AU40" s="165" t="s">
        <v>956</v>
      </c>
    </row>
    <row r="41" spans="47:48" ht="14.5" x14ac:dyDescent="0.35">
      <c r="AU41" s="166" t="s">
        <v>957</v>
      </c>
    </row>
    <row r="42" spans="47:48" ht="14.5" x14ac:dyDescent="0.35">
      <c r="AU42" s="166" t="s">
        <v>959</v>
      </c>
    </row>
    <row r="43" spans="47:48" ht="14.5" x14ac:dyDescent="0.35">
      <c r="AU43" s="166" t="s">
        <v>961</v>
      </c>
    </row>
    <row r="44" spans="47:48" ht="14.5" x14ac:dyDescent="0.35"/>
    <row r="45" spans="47:48" ht="14.5" x14ac:dyDescent="0.35"/>
    <row r="46" spans="47:48" ht="14.5" x14ac:dyDescent="0.35"/>
    <row r="47" spans="47:48" ht="14.5" x14ac:dyDescent="0.35"/>
    <row r="48" spans="47:48" ht="14.5" x14ac:dyDescent="0.35"/>
    <row r="49" ht="14.5" x14ac:dyDescent="0.35"/>
    <row r="50" ht="14.5" x14ac:dyDescent="0.35"/>
    <row r="51" ht="14.5" x14ac:dyDescent="0.35"/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  <row r="187" ht="14.5" x14ac:dyDescent="0.35"/>
    <row r="188" ht="14.5" x14ac:dyDescent="0.35"/>
    <row r="189" ht="14.5" x14ac:dyDescent="0.35"/>
    <row r="190" ht="14.5" x14ac:dyDescent="0.35"/>
    <row r="191" ht="14.5" x14ac:dyDescent="0.35"/>
    <row r="192" ht="14.5" x14ac:dyDescent="0.35"/>
    <row r="193" ht="14.5" x14ac:dyDescent="0.35"/>
    <row r="194" ht="14.5" x14ac:dyDescent="0.35"/>
    <row r="195" ht="14.5" x14ac:dyDescent="0.35"/>
    <row r="196" ht="14.5" x14ac:dyDescent="0.35"/>
    <row r="197" ht="14.5" x14ac:dyDescent="0.35"/>
    <row r="198" ht="14.5" x14ac:dyDescent="0.35"/>
    <row r="199" ht="14.5" x14ac:dyDescent="0.35"/>
    <row r="200" ht="14.5" x14ac:dyDescent="0.35"/>
    <row r="201" ht="14.5" x14ac:dyDescent="0.35"/>
    <row r="202" ht="14.5" x14ac:dyDescent="0.35"/>
    <row r="203" ht="14.5" x14ac:dyDescent="0.35"/>
    <row r="204" ht="14.5" x14ac:dyDescent="0.35"/>
    <row r="205" ht="14.5" x14ac:dyDescent="0.35"/>
    <row r="206" ht="14.5" x14ac:dyDescent="0.35"/>
    <row r="207" ht="14.5" x14ac:dyDescent="0.35"/>
    <row r="208" ht="14.5" x14ac:dyDescent="0.35"/>
    <row r="209" ht="14.5" x14ac:dyDescent="0.35"/>
    <row r="210" ht="14.5" x14ac:dyDescent="0.35"/>
    <row r="211" ht="14.5" x14ac:dyDescent="0.35"/>
    <row r="212" ht="14.5" x14ac:dyDescent="0.35"/>
    <row r="213" ht="14.5" x14ac:dyDescent="0.35"/>
    <row r="214" ht="14.5" x14ac:dyDescent="0.35"/>
    <row r="215" ht="14.5" x14ac:dyDescent="0.35"/>
    <row r="216" ht="14.5" x14ac:dyDescent="0.35"/>
    <row r="217" ht="14.5" x14ac:dyDescent="0.35"/>
    <row r="218" ht="14.5" x14ac:dyDescent="0.35"/>
    <row r="219" ht="14.5" x14ac:dyDescent="0.35"/>
    <row r="220" ht="14.5" x14ac:dyDescent="0.35"/>
    <row r="221" ht="14.5" x14ac:dyDescent="0.35"/>
    <row r="222" ht="14.5" x14ac:dyDescent="0.35"/>
    <row r="223" ht="14.5" x14ac:dyDescent="0.35"/>
    <row r="224" ht="14.5" x14ac:dyDescent="0.35"/>
    <row r="225" ht="14.5" x14ac:dyDescent="0.35"/>
    <row r="226" ht="14.5" x14ac:dyDescent="0.35"/>
    <row r="227" ht="14.5" x14ac:dyDescent="0.35"/>
    <row r="228" ht="14.5" x14ac:dyDescent="0.35"/>
    <row r="229" ht="14.5" x14ac:dyDescent="0.35"/>
    <row r="230" ht="14.5" x14ac:dyDescent="0.35"/>
    <row r="231" ht="14.5" x14ac:dyDescent="0.35"/>
    <row r="232" ht="14.5" x14ac:dyDescent="0.35"/>
    <row r="233" ht="14.5" x14ac:dyDescent="0.35"/>
    <row r="234" ht="14.5" x14ac:dyDescent="0.35"/>
    <row r="235" ht="14.5" x14ac:dyDescent="0.35"/>
    <row r="236" ht="14.5" x14ac:dyDescent="0.35"/>
    <row r="237" ht="14.5" x14ac:dyDescent="0.35"/>
    <row r="238" ht="14.5" x14ac:dyDescent="0.35"/>
    <row r="239" ht="14.5" x14ac:dyDescent="0.35"/>
    <row r="240" ht="14.5" x14ac:dyDescent="0.35"/>
    <row r="241" ht="14.5" x14ac:dyDescent="0.35"/>
    <row r="242" ht="14.5" x14ac:dyDescent="0.35"/>
    <row r="243" ht="14.5" x14ac:dyDescent="0.35"/>
    <row r="244" ht="14.5" x14ac:dyDescent="0.35"/>
    <row r="245" ht="14.5" x14ac:dyDescent="0.35"/>
    <row r="246" ht="14.5" x14ac:dyDescent="0.35"/>
    <row r="247" ht="14.5" x14ac:dyDescent="0.35"/>
    <row r="248" ht="14.5" x14ac:dyDescent="0.35"/>
    <row r="249" ht="14.5" x14ac:dyDescent="0.35"/>
    <row r="250" ht="14.5" x14ac:dyDescent="0.35"/>
    <row r="251" ht="14.5" x14ac:dyDescent="0.35"/>
    <row r="252" ht="14.5" x14ac:dyDescent="0.35"/>
    <row r="253" ht="14.5" x14ac:dyDescent="0.35"/>
    <row r="254" ht="14.5" x14ac:dyDescent="0.35"/>
    <row r="255" ht="14.5" x14ac:dyDescent="0.35"/>
    <row r="256" ht="14.5" x14ac:dyDescent="0.35"/>
    <row r="257" ht="14.5" x14ac:dyDescent="0.35"/>
    <row r="258" ht="14.5" x14ac:dyDescent="0.35"/>
    <row r="259" ht="14.5" x14ac:dyDescent="0.35"/>
    <row r="260" ht="14.5" x14ac:dyDescent="0.35"/>
    <row r="261" ht="14.5" x14ac:dyDescent="0.35"/>
    <row r="262" ht="14.5" x14ac:dyDescent="0.35"/>
    <row r="263" ht="14.5" x14ac:dyDescent="0.35"/>
    <row r="264" ht="14.5" x14ac:dyDescent="0.35"/>
    <row r="265" ht="14.5" x14ac:dyDescent="0.35"/>
    <row r="266" ht="14.5" x14ac:dyDescent="0.35"/>
    <row r="267" ht="14.5" x14ac:dyDescent="0.35"/>
    <row r="268" ht="14.5" x14ac:dyDescent="0.35"/>
    <row r="269" ht="14.5" x14ac:dyDescent="0.35"/>
    <row r="270" ht="14.5" x14ac:dyDescent="0.35"/>
    <row r="271" ht="14.5" x14ac:dyDescent="0.35"/>
    <row r="272" ht="14.5" x14ac:dyDescent="0.35"/>
    <row r="273" ht="14.5" x14ac:dyDescent="0.35"/>
    <row r="274" ht="14.5" x14ac:dyDescent="0.35"/>
    <row r="275" ht="14.5" x14ac:dyDescent="0.35"/>
    <row r="276" ht="14.5" x14ac:dyDescent="0.35"/>
    <row r="277" ht="14.5" x14ac:dyDescent="0.35"/>
    <row r="278" ht="14.5" x14ac:dyDescent="0.35"/>
    <row r="279" ht="14.5" x14ac:dyDescent="0.35"/>
    <row r="280" ht="14.5" x14ac:dyDescent="0.35"/>
    <row r="281" ht="14.5" x14ac:dyDescent="0.35"/>
    <row r="282" ht="14.5" x14ac:dyDescent="0.35"/>
    <row r="283" ht="14.5" x14ac:dyDescent="0.35"/>
    <row r="284" ht="14.5" x14ac:dyDescent="0.35"/>
    <row r="285" ht="14.5" x14ac:dyDescent="0.35"/>
    <row r="286" ht="14.5" x14ac:dyDescent="0.35"/>
    <row r="287" ht="14.5" x14ac:dyDescent="0.35"/>
    <row r="288" ht="14.5" x14ac:dyDescent="0.35"/>
    <row r="289" ht="14.5" x14ac:dyDescent="0.35"/>
    <row r="290" ht="14.5" x14ac:dyDescent="0.35"/>
    <row r="291" ht="14.5" x14ac:dyDescent="0.35"/>
    <row r="292" ht="14.5" x14ac:dyDescent="0.35"/>
    <row r="293" ht="14.5" x14ac:dyDescent="0.35"/>
    <row r="294" ht="14.5" x14ac:dyDescent="0.35"/>
    <row r="295" ht="14.5" x14ac:dyDescent="0.35"/>
    <row r="296" ht="14.5" x14ac:dyDescent="0.35"/>
    <row r="297" ht="14.5" x14ac:dyDescent="0.35"/>
    <row r="298" ht="14.5" x14ac:dyDescent="0.35"/>
    <row r="299" ht="14.5" x14ac:dyDescent="0.35"/>
    <row r="300" ht="14.5" x14ac:dyDescent="0.35"/>
    <row r="301" ht="14.5" x14ac:dyDescent="0.35"/>
    <row r="302" ht="14.5" x14ac:dyDescent="0.35"/>
    <row r="303" ht="14.5" x14ac:dyDescent="0.35"/>
    <row r="304" ht="14.5" x14ac:dyDescent="0.35"/>
    <row r="305" ht="14.5" x14ac:dyDescent="0.35"/>
    <row r="306" ht="14.5" x14ac:dyDescent="0.35"/>
    <row r="307" ht="14.5" x14ac:dyDescent="0.35"/>
    <row r="308" ht="14.5" x14ac:dyDescent="0.35"/>
    <row r="309" ht="14.5" x14ac:dyDescent="0.35"/>
    <row r="310" ht="14.5" x14ac:dyDescent="0.35"/>
    <row r="311" ht="14.5" x14ac:dyDescent="0.35"/>
    <row r="312" ht="14.5" x14ac:dyDescent="0.35"/>
    <row r="313" ht="14.5" x14ac:dyDescent="0.35"/>
    <row r="314" ht="14.5" x14ac:dyDescent="0.35"/>
    <row r="315" ht="14.5" x14ac:dyDescent="0.35"/>
    <row r="316" ht="14.5" x14ac:dyDescent="0.35"/>
    <row r="317" ht="14.5" x14ac:dyDescent="0.35"/>
    <row r="318" ht="14.5" x14ac:dyDescent="0.35"/>
    <row r="319" ht="14.5" x14ac:dyDescent="0.35"/>
    <row r="320" ht="14.5" x14ac:dyDescent="0.35"/>
    <row r="321" ht="14.5" x14ac:dyDescent="0.35"/>
    <row r="322" ht="14.5" x14ac:dyDescent="0.35"/>
    <row r="323" ht="14.5" x14ac:dyDescent="0.35"/>
    <row r="324" ht="14.5" x14ac:dyDescent="0.35"/>
    <row r="325" ht="14.5" x14ac:dyDescent="0.35"/>
    <row r="326" ht="14.5" x14ac:dyDescent="0.35"/>
    <row r="327" ht="14.5" x14ac:dyDescent="0.35"/>
    <row r="328" ht="14.5" x14ac:dyDescent="0.35"/>
    <row r="329" ht="14.5" x14ac:dyDescent="0.35"/>
    <row r="330" ht="14.5" x14ac:dyDescent="0.35"/>
    <row r="331" ht="14.5" x14ac:dyDescent="0.35"/>
    <row r="332" ht="14.5" x14ac:dyDescent="0.35"/>
    <row r="333" ht="14.5" x14ac:dyDescent="0.35"/>
    <row r="334" ht="14.5" x14ac:dyDescent="0.35"/>
    <row r="335" ht="14.5" x14ac:dyDescent="0.35"/>
    <row r="336" ht="14.5" x14ac:dyDescent="0.35"/>
    <row r="337" ht="14.5" x14ac:dyDescent="0.35"/>
    <row r="338" ht="14.5" x14ac:dyDescent="0.35"/>
    <row r="339" ht="14.5" x14ac:dyDescent="0.35"/>
    <row r="340" ht="14.5" x14ac:dyDescent="0.35"/>
    <row r="341" ht="14.5" x14ac:dyDescent="0.35"/>
    <row r="342" ht="14.5" x14ac:dyDescent="0.35"/>
    <row r="343" ht="14.5" x14ac:dyDescent="0.35"/>
    <row r="344" ht="14.5" x14ac:dyDescent="0.35"/>
    <row r="345" ht="14.5" x14ac:dyDescent="0.35"/>
    <row r="346" ht="14.5" x14ac:dyDescent="0.35"/>
    <row r="347" ht="14.5" x14ac:dyDescent="0.35"/>
    <row r="348" ht="14.5" x14ac:dyDescent="0.35"/>
    <row r="349" ht="14.5" x14ac:dyDescent="0.35"/>
    <row r="350" ht="14.5" x14ac:dyDescent="0.35"/>
    <row r="351" ht="14.5" x14ac:dyDescent="0.35"/>
    <row r="352" ht="14.5" x14ac:dyDescent="0.35"/>
    <row r="353" ht="14.5" x14ac:dyDescent="0.35"/>
    <row r="354" ht="14.5" x14ac:dyDescent="0.35"/>
    <row r="355" ht="14.5" x14ac:dyDescent="0.35"/>
    <row r="356" ht="14.5" x14ac:dyDescent="0.35"/>
    <row r="357" ht="14.5" x14ac:dyDescent="0.35"/>
    <row r="358" ht="14.5" x14ac:dyDescent="0.35"/>
    <row r="359" ht="14.5" x14ac:dyDescent="0.35"/>
    <row r="360" ht="14.5" x14ac:dyDescent="0.35"/>
    <row r="361" ht="14.5" x14ac:dyDescent="0.35"/>
    <row r="362" ht="14.5" x14ac:dyDescent="0.35"/>
    <row r="363" ht="14.5" x14ac:dyDescent="0.35"/>
    <row r="364" ht="14.5" x14ac:dyDescent="0.35"/>
    <row r="365" ht="14.5" x14ac:dyDescent="0.35"/>
    <row r="366" ht="14.5" x14ac:dyDescent="0.35"/>
    <row r="367" ht="14.5" x14ac:dyDescent="0.35"/>
    <row r="368" ht="14.5" x14ac:dyDescent="0.35"/>
    <row r="369" ht="14.5" x14ac:dyDescent="0.35"/>
    <row r="370" ht="14.5" x14ac:dyDescent="0.35"/>
    <row r="371" ht="14.5" x14ac:dyDescent="0.35"/>
    <row r="372" ht="14.5" x14ac:dyDescent="0.35"/>
    <row r="373" ht="14.5" x14ac:dyDescent="0.35"/>
    <row r="374" ht="14.5" x14ac:dyDescent="0.35"/>
    <row r="375" ht="14.5" x14ac:dyDescent="0.35"/>
    <row r="376" ht="14.5" x14ac:dyDescent="0.35"/>
    <row r="377" ht="14.5" x14ac:dyDescent="0.35"/>
    <row r="378" ht="14.5" x14ac:dyDescent="0.35"/>
    <row r="379" ht="14.5" x14ac:dyDescent="0.35"/>
    <row r="380" ht="14.5" x14ac:dyDescent="0.35"/>
    <row r="381" ht="14.5" x14ac:dyDescent="0.35"/>
    <row r="382" ht="14.5" x14ac:dyDescent="0.35"/>
    <row r="383" ht="14.5" x14ac:dyDescent="0.35"/>
    <row r="384" ht="14.5" x14ac:dyDescent="0.35"/>
    <row r="385" ht="14.5" x14ac:dyDescent="0.35"/>
    <row r="386" ht="14.5" x14ac:dyDescent="0.35"/>
    <row r="387" ht="14.5" x14ac:dyDescent="0.35"/>
    <row r="388" ht="14.5" x14ac:dyDescent="0.35"/>
    <row r="389" ht="14.5" x14ac:dyDescent="0.35"/>
    <row r="390" ht="14.5" x14ac:dyDescent="0.35"/>
    <row r="391" ht="14.5" x14ac:dyDescent="0.35"/>
    <row r="392" ht="14.5" x14ac:dyDescent="0.35"/>
    <row r="393" ht="14.5" x14ac:dyDescent="0.35"/>
    <row r="394" ht="14.5" x14ac:dyDescent="0.35"/>
    <row r="395" ht="14.5" x14ac:dyDescent="0.35"/>
    <row r="396" ht="14.5" x14ac:dyDescent="0.35"/>
    <row r="397" ht="14.5" x14ac:dyDescent="0.35"/>
    <row r="398" ht="14.5" x14ac:dyDescent="0.35"/>
    <row r="399" ht="14.5" x14ac:dyDescent="0.35"/>
    <row r="400" ht="14.5" x14ac:dyDescent="0.35"/>
    <row r="401" ht="14.5" x14ac:dyDescent="0.35"/>
    <row r="402" ht="14.5" x14ac:dyDescent="0.35"/>
    <row r="403" ht="14.5" x14ac:dyDescent="0.35"/>
    <row r="404" ht="14.5" x14ac:dyDescent="0.35"/>
    <row r="405" ht="14.5" x14ac:dyDescent="0.35"/>
    <row r="406" ht="14.5" x14ac:dyDescent="0.35"/>
    <row r="407" ht="14.5" x14ac:dyDescent="0.35"/>
    <row r="408" ht="14.5" x14ac:dyDescent="0.35"/>
    <row r="409" ht="14.5" x14ac:dyDescent="0.35"/>
    <row r="410" ht="14.5" x14ac:dyDescent="0.35"/>
    <row r="411" ht="14.5" x14ac:dyDescent="0.35"/>
    <row r="412" ht="14.5" x14ac:dyDescent="0.35"/>
    <row r="413" ht="14.5" x14ac:dyDescent="0.35"/>
    <row r="414" ht="14.5" x14ac:dyDescent="0.35"/>
    <row r="415" ht="14.5" x14ac:dyDescent="0.35"/>
    <row r="416" ht="14.5" x14ac:dyDescent="0.35"/>
    <row r="417" ht="14.5" x14ac:dyDescent="0.35"/>
    <row r="418" ht="14.5" x14ac:dyDescent="0.35"/>
    <row r="419" ht="14.5" x14ac:dyDescent="0.35"/>
    <row r="420" ht="14.5" x14ac:dyDescent="0.35"/>
    <row r="421" ht="14.5" x14ac:dyDescent="0.35"/>
    <row r="422" ht="14.5" x14ac:dyDescent="0.35"/>
    <row r="423" ht="14.5" x14ac:dyDescent="0.35"/>
    <row r="424" ht="14.5" x14ac:dyDescent="0.35"/>
    <row r="425" ht="14.5" x14ac:dyDescent="0.35"/>
    <row r="426" ht="14.5" x14ac:dyDescent="0.35"/>
    <row r="427" ht="14.5" x14ac:dyDescent="0.35"/>
    <row r="428" ht="14.5" x14ac:dyDescent="0.35"/>
    <row r="429" ht="14.5" x14ac:dyDescent="0.35"/>
    <row r="430" ht="14.5" x14ac:dyDescent="0.35"/>
    <row r="431" ht="14.5" x14ac:dyDescent="0.35"/>
    <row r="432" ht="14.5" x14ac:dyDescent="0.35"/>
    <row r="433" ht="14.5" x14ac:dyDescent="0.35"/>
    <row r="434" ht="14.5" x14ac:dyDescent="0.35"/>
    <row r="435" ht="14.5" x14ac:dyDescent="0.35"/>
    <row r="436" ht="14.5" x14ac:dyDescent="0.35"/>
    <row r="437" ht="14.5" x14ac:dyDescent="0.35"/>
    <row r="438" ht="14.5" x14ac:dyDescent="0.35"/>
    <row r="439" ht="14.5" x14ac:dyDescent="0.35"/>
    <row r="440" ht="14.5" x14ac:dyDescent="0.35"/>
    <row r="441" ht="14.5" x14ac:dyDescent="0.35"/>
    <row r="442" ht="14.5" x14ac:dyDescent="0.35"/>
    <row r="443" ht="14.5" x14ac:dyDescent="0.35"/>
    <row r="444" ht="14.5" x14ac:dyDescent="0.35"/>
    <row r="445" ht="14.5" x14ac:dyDescent="0.35"/>
    <row r="446" ht="14.5" x14ac:dyDescent="0.35"/>
    <row r="447" ht="14.5" x14ac:dyDescent="0.35"/>
    <row r="448" ht="14.5" x14ac:dyDescent="0.35"/>
    <row r="449" ht="14.5" x14ac:dyDescent="0.35"/>
    <row r="450" ht="14.5" x14ac:dyDescent="0.35"/>
    <row r="451" ht="14.5" x14ac:dyDescent="0.35"/>
    <row r="452" ht="14.5" x14ac:dyDescent="0.35"/>
    <row r="453" ht="14.5" x14ac:dyDescent="0.35"/>
    <row r="454" ht="14.5" x14ac:dyDescent="0.35"/>
    <row r="455" ht="14.5" x14ac:dyDescent="0.35"/>
    <row r="456" ht="14.5" x14ac:dyDescent="0.35"/>
    <row r="457" ht="14.5" x14ac:dyDescent="0.35"/>
    <row r="458" ht="14.5" x14ac:dyDescent="0.35"/>
    <row r="459" ht="14.5" x14ac:dyDescent="0.35"/>
    <row r="460" ht="14.5" x14ac:dyDescent="0.35"/>
    <row r="461" ht="14.5" x14ac:dyDescent="0.35"/>
    <row r="462" ht="14.5" x14ac:dyDescent="0.35"/>
    <row r="463" ht="14.5" x14ac:dyDescent="0.35"/>
    <row r="464" ht="14.5" x14ac:dyDescent="0.35"/>
    <row r="465" ht="14.5" x14ac:dyDescent="0.35"/>
    <row r="466" ht="14.5" x14ac:dyDescent="0.35"/>
    <row r="467" ht="14.5" x14ac:dyDescent="0.35"/>
    <row r="468" ht="14.5" x14ac:dyDescent="0.35"/>
    <row r="469" ht="14.5" x14ac:dyDescent="0.35"/>
    <row r="470" ht="14.5" x14ac:dyDescent="0.35"/>
    <row r="471" ht="14.5" x14ac:dyDescent="0.35"/>
    <row r="472" ht="14.5" x14ac:dyDescent="0.35"/>
    <row r="473" ht="14.5" x14ac:dyDescent="0.35"/>
    <row r="474" ht="14.5" x14ac:dyDescent="0.35"/>
    <row r="475" ht="14.5" x14ac:dyDescent="0.35"/>
    <row r="476" ht="14.5" x14ac:dyDescent="0.35"/>
    <row r="477" ht="14.5" x14ac:dyDescent="0.35"/>
    <row r="478" ht="14.5" x14ac:dyDescent="0.35"/>
    <row r="479" ht="14.5" x14ac:dyDescent="0.35"/>
    <row r="480" ht="14.5" x14ac:dyDescent="0.35"/>
    <row r="481" ht="14.5" x14ac:dyDescent="0.35"/>
    <row r="482" ht="14.5" x14ac:dyDescent="0.35"/>
    <row r="483" ht="14.5" x14ac:dyDescent="0.35"/>
    <row r="484" ht="14.5" x14ac:dyDescent="0.35"/>
    <row r="485" ht="14.5" x14ac:dyDescent="0.35"/>
    <row r="486" ht="14.5" x14ac:dyDescent="0.35"/>
    <row r="487" ht="14.5" x14ac:dyDescent="0.35"/>
    <row r="488" ht="14.5" x14ac:dyDescent="0.35"/>
    <row r="489" ht="14.5" x14ac:dyDescent="0.35"/>
    <row r="490" ht="14.5" x14ac:dyDescent="0.35"/>
    <row r="491" ht="14.5" x14ac:dyDescent="0.35"/>
    <row r="492" ht="14.5" x14ac:dyDescent="0.35"/>
    <row r="493" ht="14.5" x14ac:dyDescent="0.35"/>
    <row r="494" ht="14.5" x14ac:dyDescent="0.35"/>
    <row r="495" ht="14.5" x14ac:dyDescent="0.35"/>
    <row r="496" ht="14.5" x14ac:dyDescent="0.35"/>
    <row r="497" ht="14.5" x14ac:dyDescent="0.35"/>
    <row r="498" ht="14.5" x14ac:dyDescent="0.35"/>
    <row r="499" ht="14.5" x14ac:dyDescent="0.35"/>
    <row r="500" ht="14.5" x14ac:dyDescent="0.35"/>
    <row r="501" ht="14.5" x14ac:dyDescent="0.35"/>
    <row r="502" ht="14.5" x14ac:dyDescent="0.35"/>
    <row r="503" ht="14.5" x14ac:dyDescent="0.35"/>
    <row r="504" ht="14.5" x14ac:dyDescent="0.35"/>
    <row r="505" ht="14.5" x14ac:dyDescent="0.35"/>
    <row r="506" ht="14.5" x14ac:dyDescent="0.35"/>
    <row r="507" ht="14.5" x14ac:dyDescent="0.35"/>
    <row r="508" ht="14.5" x14ac:dyDescent="0.35"/>
    <row r="509" ht="14.5" x14ac:dyDescent="0.35"/>
    <row r="510" ht="14.5" x14ac:dyDescent="0.35"/>
    <row r="511" ht="14.5" x14ac:dyDescent="0.35"/>
    <row r="512" ht="14.5" x14ac:dyDescent="0.35"/>
    <row r="513" ht="14.5" x14ac:dyDescent="0.35"/>
    <row r="514" ht="14.5" x14ac:dyDescent="0.35"/>
    <row r="515" ht="14.5" x14ac:dyDescent="0.35"/>
    <row r="516" ht="14.5" x14ac:dyDescent="0.35"/>
    <row r="517" ht="14.5" x14ac:dyDescent="0.35"/>
    <row r="518" ht="14.5" x14ac:dyDescent="0.35"/>
    <row r="519" ht="14.5" x14ac:dyDescent="0.35"/>
    <row r="520" ht="14.5" x14ac:dyDescent="0.35"/>
    <row r="521" ht="14.5" x14ac:dyDescent="0.35"/>
    <row r="522" ht="14.5" x14ac:dyDescent="0.35"/>
    <row r="523" ht="14.5" x14ac:dyDescent="0.35"/>
    <row r="524" ht="14.5" x14ac:dyDescent="0.35"/>
    <row r="525" ht="14.5" x14ac:dyDescent="0.35"/>
    <row r="526" ht="14.5" x14ac:dyDescent="0.35"/>
    <row r="527" ht="14.5" x14ac:dyDescent="0.35"/>
    <row r="528" ht="14.5" x14ac:dyDescent="0.35"/>
    <row r="529" ht="14.5" x14ac:dyDescent="0.35"/>
    <row r="530" ht="14.5" x14ac:dyDescent="0.35"/>
    <row r="531" ht="14.5" x14ac:dyDescent="0.35"/>
    <row r="532" ht="14.5" x14ac:dyDescent="0.35"/>
    <row r="533" ht="14.5" x14ac:dyDescent="0.35"/>
    <row r="534" ht="14.5" x14ac:dyDescent="0.35"/>
    <row r="535" ht="14.5" x14ac:dyDescent="0.35"/>
    <row r="536" ht="14.5" x14ac:dyDescent="0.35"/>
    <row r="537" ht="14.5" x14ac:dyDescent="0.35"/>
    <row r="538" ht="14.5" x14ac:dyDescent="0.35"/>
    <row r="539" ht="14.5" x14ac:dyDescent="0.35"/>
    <row r="540" ht="14.5" x14ac:dyDescent="0.35"/>
    <row r="541" ht="14.5" x14ac:dyDescent="0.35"/>
    <row r="542" ht="14.5" x14ac:dyDescent="0.35"/>
    <row r="543" ht="14.5" x14ac:dyDescent="0.35"/>
    <row r="544" ht="14.5" x14ac:dyDescent="0.35"/>
    <row r="545" ht="14.5" x14ac:dyDescent="0.35"/>
    <row r="546" ht="14.5" x14ac:dyDescent="0.35"/>
    <row r="547" ht="14.5" x14ac:dyDescent="0.35"/>
    <row r="548" ht="14.5" x14ac:dyDescent="0.35"/>
    <row r="549" ht="14.5" x14ac:dyDescent="0.35"/>
    <row r="550" ht="14.5" x14ac:dyDescent="0.35"/>
    <row r="551" ht="14.5" x14ac:dyDescent="0.35"/>
    <row r="552" ht="14.5" x14ac:dyDescent="0.35"/>
    <row r="553" ht="14.5" x14ac:dyDescent="0.35"/>
    <row r="554" ht="14.5" x14ac:dyDescent="0.35"/>
    <row r="555" ht="14.5" x14ac:dyDescent="0.35"/>
    <row r="556" ht="14.5" x14ac:dyDescent="0.35"/>
    <row r="557" ht="14.5" x14ac:dyDescent="0.35"/>
    <row r="558" ht="14.5" x14ac:dyDescent="0.35"/>
    <row r="559" ht="14.5" x14ac:dyDescent="0.35"/>
    <row r="560" ht="14.5" x14ac:dyDescent="0.35"/>
    <row r="561" ht="14.5" x14ac:dyDescent="0.35"/>
    <row r="562" ht="14.5" x14ac:dyDescent="0.35"/>
    <row r="563" ht="14.5" x14ac:dyDescent="0.35"/>
    <row r="564" ht="14.5" x14ac:dyDescent="0.35"/>
    <row r="565" ht="14.5" x14ac:dyDescent="0.35"/>
    <row r="566" ht="14.5" x14ac:dyDescent="0.35"/>
    <row r="567" ht="14.5" x14ac:dyDescent="0.35"/>
    <row r="568" ht="14.5" x14ac:dyDescent="0.35"/>
    <row r="569" ht="14.5" x14ac:dyDescent="0.35"/>
    <row r="570" ht="14.5" x14ac:dyDescent="0.35"/>
    <row r="571" ht="14.5" x14ac:dyDescent="0.35"/>
    <row r="572" ht="14.5" x14ac:dyDescent="0.35"/>
    <row r="573" ht="14.5" x14ac:dyDescent="0.35"/>
    <row r="574" ht="14.5" x14ac:dyDescent="0.35"/>
    <row r="575" ht="14.5" x14ac:dyDescent="0.35"/>
    <row r="576" ht="14.5" x14ac:dyDescent="0.35"/>
    <row r="577" ht="14.5" x14ac:dyDescent="0.35"/>
    <row r="578" ht="14.5" x14ac:dyDescent="0.35"/>
    <row r="579" ht="14.5" x14ac:dyDescent="0.35"/>
    <row r="580" ht="14.5" x14ac:dyDescent="0.35"/>
    <row r="581" ht="14.5" x14ac:dyDescent="0.35"/>
    <row r="582" ht="14.5" x14ac:dyDescent="0.35"/>
    <row r="583" ht="14.5" x14ac:dyDescent="0.35"/>
    <row r="584" ht="14.5" x14ac:dyDescent="0.35"/>
    <row r="585" ht="14.5" x14ac:dyDescent="0.35"/>
    <row r="586" ht="14.5" x14ac:dyDescent="0.35"/>
    <row r="587" ht="14.5" x14ac:dyDescent="0.35"/>
    <row r="588" ht="14.5" x14ac:dyDescent="0.35"/>
    <row r="589" ht="14.5" x14ac:dyDescent="0.35"/>
    <row r="590" ht="14.5" x14ac:dyDescent="0.35"/>
    <row r="591" ht="14.5" x14ac:dyDescent="0.35"/>
    <row r="592" ht="14.5" x14ac:dyDescent="0.35"/>
    <row r="593" ht="14.5" x14ac:dyDescent="0.35"/>
    <row r="594" ht="14.5" x14ac:dyDescent="0.35"/>
    <row r="595" ht="14.5" x14ac:dyDescent="0.35"/>
    <row r="596" ht="14.5" x14ac:dyDescent="0.35"/>
    <row r="597" ht="14.5" x14ac:dyDescent="0.35"/>
    <row r="598" ht="14.5" x14ac:dyDescent="0.35"/>
    <row r="599" ht="14.5" x14ac:dyDescent="0.35"/>
    <row r="600" ht="14.5" x14ac:dyDescent="0.35"/>
    <row r="601" ht="14.5" x14ac:dyDescent="0.35"/>
    <row r="602" ht="14.5" x14ac:dyDescent="0.35"/>
    <row r="603" ht="14.5" x14ac:dyDescent="0.35"/>
    <row r="604" ht="14.5" x14ac:dyDescent="0.35"/>
    <row r="605" ht="14.5" x14ac:dyDescent="0.35"/>
    <row r="606" ht="14.5" x14ac:dyDescent="0.35"/>
    <row r="607" ht="14.5" x14ac:dyDescent="0.35"/>
    <row r="608" ht="14.5" x14ac:dyDescent="0.35"/>
    <row r="609" ht="14.5" x14ac:dyDescent="0.35"/>
    <row r="610" ht="14.5" x14ac:dyDescent="0.35"/>
    <row r="611" ht="14.5" x14ac:dyDescent="0.35"/>
    <row r="612" ht="14.5" x14ac:dyDescent="0.35"/>
    <row r="613" ht="14.5" x14ac:dyDescent="0.35"/>
    <row r="614" ht="14.5" x14ac:dyDescent="0.35"/>
    <row r="615" ht="14.5" x14ac:dyDescent="0.35"/>
    <row r="616" ht="14.5" x14ac:dyDescent="0.35"/>
    <row r="617" ht="14.5" x14ac:dyDescent="0.35"/>
    <row r="618" ht="14.5" x14ac:dyDescent="0.35"/>
    <row r="619" ht="14.5" x14ac:dyDescent="0.35"/>
    <row r="620" ht="14.5" x14ac:dyDescent="0.35"/>
    <row r="621" ht="14.5" x14ac:dyDescent="0.35"/>
    <row r="622" ht="14.5" x14ac:dyDescent="0.35"/>
    <row r="623" ht="14.5" x14ac:dyDescent="0.35"/>
    <row r="624" ht="14.5" x14ac:dyDescent="0.35"/>
    <row r="625" ht="14.5" x14ac:dyDescent="0.35"/>
    <row r="626" ht="14.5" x14ac:dyDescent="0.35"/>
    <row r="627" ht="14.5" x14ac:dyDescent="0.35"/>
    <row r="628" ht="14.5" x14ac:dyDescent="0.35"/>
    <row r="629" ht="14.5" x14ac:dyDescent="0.35"/>
    <row r="630" ht="14.5" x14ac:dyDescent="0.35"/>
    <row r="631" ht="14.5" x14ac:dyDescent="0.35"/>
    <row r="632" ht="14.5" x14ac:dyDescent="0.35"/>
    <row r="633" ht="14.5" x14ac:dyDescent="0.35"/>
    <row r="634" ht="14.5" x14ac:dyDescent="0.35"/>
    <row r="635" ht="14.5" x14ac:dyDescent="0.35"/>
    <row r="636" ht="14.5" x14ac:dyDescent="0.35"/>
    <row r="637" ht="14.5" x14ac:dyDescent="0.35"/>
    <row r="638" ht="14.5" x14ac:dyDescent="0.35"/>
    <row r="639" ht="14.5" x14ac:dyDescent="0.35"/>
    <row r="640" ht="14.5" x14ac:dyDescent="0.35"/>
    <row r="641" ht="14.5" x14ac:dyDescent="0.35"/>
    <row r="642" ht="14.5" x14ac:dyDescent="0.35"/>
    <row r="643" ht="14.5" x14ac:dyDescent="0.35"/>
    <row r="644" ht="14.5" x14ac:dyDescent="0.35"/>
    <row r="645" ht="14.5" x14ac:dyDescent="0.35"/>
    <row r="646" ht="14.5" x14ac:dyDescent="0.35"/>
    <row r="647" ht="14.5" x14ac:dyDescent="0.35"/>
    <row r="648" ht="14.5" x14ac:dyDescent="0.35"/>
    <row r="649" ht="14.5" x14ac:dyDescent="0.35"/>
    <row r="650" ht="14.5" x14ac:dyDescent="0.35"/>
    <row r="651" ht="14.5" x14ac:dyDescent="0.35"/>
    <row r="652" ht="14.5" x14ac:dyDescent="0.35"/>
    <row r="653" ht="14.5" x14ac:dyDescent="0.35"/>
    <row r="654" ht="14.5" x14ac:dyDescent="0.35"/>
    <row r="655" ht="14.5" x14ac:dyDescent="0.35"/>
    <row r="656" ht="14.5" x14ac:dyDescent="0.35"/>
    <row r="657" ht="14.5" x14ac:dyDescent="0.35"/>
    <row r="658" ht="14.5" x14ac:dyDescent="0.35"/>
    <row r="659" ht="14.5" x14ac:dyDescent="0.35"/>
    <row r="660" ht="14.5" x14ac:dyDescent="0.35"/>
    <row r="661" ht="14.5" x14ac:dyDescent="0.35"/>
    <row r="662" ht="14.5" x14ac:dyDescent="0.35"/>
    <row r="663" ht="14.5" x14ac:dyDescent="0.35"/>
    <row r="664" ht="14.5" x14ac:dyDescent="0.35"/>
    <row r="665" ht="14.5" x14ac:dyDescent="0.35"/>
    <row r="666" ht="14.5" x14ac:dyDescent="0.35"/>
    <row r="667" ht="14.5" x14ac:dyDescent="0.35"/>
    <row r="668" ht="14.5" x14ac:dyDescent="0.35"/>
    <row r="669" ht="14.5" x14ac:dyDescent="0.35"/>
    <row r="670" ht="14.5" x14ac:dyDescent="0.35"/>
    <row r="671" ht="14.5" x14ac:dyDescent="0.35"/>
    <row r="672" ht="14.5" x14ac:dyDescent="0.35"/>
    <row r="673" ht="14.5" x14ac:dyDescent="0.35"/>
    <row r="674" ht="14.5" x14ac:dyDescent="0.35"/>
    <row r="675" ht="14.5" x14ac:dyDescent="0.35"/>
    <row r="676" ht="14.5" x14ac:dyDescent="0.35"/>
    <row r="677" ht="14.5" x14ac:dyDescent="0.35"/>
    <row r="678" ht="14.5" x14ac:dyDescent="0.35"/>
    <row r="679" ht="14.5" x14ac:dyDescent="0.35"/>
    <row r="680" ht="14.5" x14ac:dyDescent="0.35"/>
    <row r="681" ht="14.5" x14ac:dyDescent="0.35"/>
    <row r="682" ht="14.5" x14ac:dyDescent="0.35"/>
    <row r="683" ht="14.5" x14ac:dyDescent="0.35"/>
    <row r="684" ht="14.5" x14ac:dyDescent="0.35"/>
    <row r="685" ht="14.5" x14ac:dyDescent="0.35"/>
    <row r="686" ht="14.5" x14ac:dyDescent="0.35"/>
    <row r="687" ht="14.5" x14ac:dyDescent="0.35"/>
    <row r="688" ht="14.5" x14ac:dyDescent="0.35"/>
    <row r="689" ht="14.5" x14ac:dyDescent="0.35"/>
    <row r="690" ht="14.5" x14ac:dyDescent="0.35"/>
    <row r="691" ht="14.5" x14ac:dyDescent="0.35"/>
    <row r="692" ht="14.5" x14ac:dyDescent="0.35"/>
    <row r="693" ht="14.5" x14ac:dyDescent="0.35"/>
    <row r="694" ht="14.5" x14ac:dyDescent="0.35"/>
    <row r="695" ht="14.5" x14ac:dyDescent="0.35"/>
    <row r="696" ht="14.5" x14ac:dyDescent="0.35"/>
    <row r="697" ht="14.5" x14ac:dyDescent="0.35"/>
    <row r="698" ht="14.5" x14ac:dyDescent="0.35"/>
    <row r="699" ht="14.5" x14ac:dyDescent="0.35"/>
    <row r="700" ht="14.5" x14ac:dyDescent="0.35"/>
    <row r="701" ht="14.5" x14ac:dyDescent="0.35"/>
    <row r="702" ht="14.5" x14ac:dyDescent="0.35"/>
    <row r="703" ht="14.5" x14ac:dyDescent="0.35"/>
    <row r="704" ht="14.5" x14ac:dyDescent="0.35"/>
    <row r="705" ht="14.5" x14ac:dyDescent="0.35"/>
    <row r="706" ht="14.5" x14ac:dyDescent="0.35"/>
    <row r="707" ht="14.5" x14ac:dyDescent="0.35"/>
    <row r="708" ht="14.5" x14ac:dyDescent="0.35"/>
    <row r="709" ht="14.5" x14ac:dyDescent="0.35"/>
    <row r="710" ht="14.5" x14ac:dyDescent="0.35"/>
    <row r="711" ht="14.5" x14ac:dyDescent="0.35"/>
    <row r="712" ht="14.5" x14ac:dyDescent="0.35"/>
    <row r="713" ht="14.5" x14ac:dyDescent="0.35"/>
    <row r="714" ht="14.5" x14ac:dyDescent="0.35"/>
    <row r="715" ht="14.5" x14ac:dyDescent="0.35"/>
    <row r="716" ht="14.5" x14ac:dyDescent="0.35"/>
    <row r="717" ht="14.5" x14ac:dyDescent="0.35"/>
    <row r="718" ht="14.5" x14ac:dyDescent="0.35"/>
    <row r="719" ht="14.5" x14ac:dyDescent="0.35"/>
    <row r="720" ht="14.5" x14ac:dyDescent="0.35"/>
    <row r="721" ht="14.5" x14ac:dyDescent="0.35"/>
    <row r="722" ht="14.5" x14ac:dyDescent="0.35"/>
    <row r="723" ht="14.5" x14ac:dyDescent="0.35"/>
    <row r="724" ht="14.5" x14ac:dyDescent="0.35"/>
    <row r="725" ht="14.5" x14ac:dyDescent="0.35"/>
    <row r="726" ht="14.5" x14ac:dyDescent="0.35"/>
    <row r="727" ht="14.5" x14ac:dyDescent="0.35"/>
    <row r="728" ht="14.5" x14ac:dyDescent="0.35"/>
    <row r="729" ht="14.5" x14ac:dyDescent="0.35"/>
    <row r="730" ht="14.5" x14ac:dyDescent="0.35"/>
    <row r="731" ht="14.5" x14ac:dyDescent="0.35"/>
    <row r="732" ht="14.5" x14ac:dyDescent="0.35"/>
    <row r="733" ht="14.5" x14ac:dyDescent="0.35"/>
    <row r="734" ht="14.5" x14ac:dyDescent="0.35"/>
    <row r="735" ht="14.5" x14ac:dyDescent="0.35"/>
    <row r="736" ht="14.5" x14ac:dyDescent="0.35"/>
    <row r="737" ht="14.5" x14ac:dyDescent="0.35"/>
    <row r="738" ht="14.5" x14ac:dyDescent="0.35"/>
    <row r="739" ht="14.5" x14ac:dyDescent="0.35"/>
    <row r="740" ht="14.5" x14ac:dyDescent="0.35"/>
    <row r="741" ht="14.5" x14ac:dyDescent="0.35"/>
    <row r="742" ht="14.5" x14ac:dyDescent="0.35"/>
    <row r="743" ht="14.5" x14ac:dyDescent="0.35"/>
    <row r="744" ht="14.5" x14ac:dyDescent="0.35"/>
    <row r="745" ht="14.5" x14ac:dyDescent="0.35"/>
    <row r="746" ht="14.5" x14ac:dyDescent="0.35"/>
    <row r="747" ht="14.5" x14ac:dyDescent="0.35"/>
    <row r="748" ht="14.5" x14ac:dyDescent="0.35"/>
    <row r="749" ht="14.5" x14ac:dyDescent="0.35"/>
    <row r="750" ht="14.5" x14ac:dyDescent="0.35"/>
    <row r="751" ht="14.5" x14ac:dyDescent="0.35"/>
    <row r="752" ht="14.5" x14ac:dyDescent="0.35"/>
    <row r="753" ht="14.5" x14ac:dyDescent="0.35"/>
    <row r="754" ht="14.5" x14ac:dyDescent="0.35"/>
    <row r="755" ht="14.5" x14ac:dyDescent="0.35"/>
    <row r="756" ht="14.5" x14ac:dyDescent="0.35"/>
    <row r="757" ht="14.5" x14ac:dyDescent="0.35"/>
    <row r="758" ht="14.5" x14ac:dyDescent="0.35"/>
    <row r="759" ht="14.5" x14ac:dyDescent="0.35"/>
    <row r="760" ht="14.5" x14ac:dyDescent="0.35"/>
    <row r="761" ht="14.5" x14ac:dyDescent="0.35"/>
    <row r="762" ht="14.5" x14ac:dyDescent="0.35"/>
    <row r="763" ht="14.5" x14ac:dyDescent="0.35"/>
    <row r="764" ht="14.5" x14ac:dyDescent="0.35"/>
    <row r="765" ht="14.5" x14ac:dyDescent="0.35"/>
    <row r="766" ht="14.5" x14ac:dyDescent="0.35"/>
    <row r="767" ht="14.5" x14ac:dyDescent="0.35"/>
    <row r="768" ht="14.5" x14ac:dyDescent="0.35"/>
    <row r="769" ht="14.5" x14ac:dyDescent="0.35"/>
    <row r="770" ht="14.5" x14ac:dyDescent="0.35"/>
    <row r="771" ht="14.5" x14ac:dyDescent="0.35"/>
    <row r="772" ht="14.5" x14ac:dyDescent="0.35"/>
    <row r="773" ht="14.5" x14ac:dyDescent="0.35"/>
    <row r="774" ht="14.5" x14ac:dyDescent="0.35"/>
    <row r="775" ht="14.5" x14ac:dyDescent="0.35"/>
    <row r="776" ht="14.5" x14ac:dyDescent="0.35"/>
    <row r="777" ht="14.5" x14ac:dyDescent="0.35"/>
    <row r="778" ht="14.5" x14ac:dyDescent="0.35"/>
    <row r="779" ht="14.5" x14ac:dyDescent="0.35"/>
    <row r="780" ht="14.5" x14ac:dyDescent="0.35"/>
    <row r="781" ht="14.5" x14ac:dyDescent="0.35"/>
    <row r="782" ht="14.5" x14ac:dyDescent="0.35"/>
    <row r="783" ht="14.5" x14ac:dyDescent="0.35"/>
    <row r="784" ht="14.5" x14ac:dyDescent="0.35"/>
    <row r="785" ht="14.5" x14ac:dyDescent="0.35"/>
    <row r="786" ht="14.5" x14ac:dyDescent="0.35"/>
    <row r="787" ht="14.5" x14ac:dyDescent="0.35"/>
    <row r="788" ht="14.5" x14ac:dyDescent="0.35"/>
    <row r="789" ht="14.5" x14ac:dyDescent="0.35"/>
    <row r="790" ht="14.5" x14ac:dyDescent="0.35"/>
    <row r="791" ht="14.5" x14ac:dyDescent="0.35"/>
    <row r="792" ht="14.5" x14ac:dyDescent="0.35"/>
    <row r="793" ht="14.5" x14ac:dyDescent="0.35"/>
    <row r="794" ht="14.5" x14ac:dyDescent="0.35"/>
    <row r="795" ht="14.5" x14ac:dyDescent="0.35"/>
    <row r="796" ht="14.5" x14ac:dyDescent="0.35"/>
    <row r="797" ht="14.5" x14ac:dyDescent="0.35"/>
    <row r="798" ht="14.5" x14ac:dyDescent="0.35"/>
    <row r="799" ht="14.5" x14ac:dyDescent="0.35"/>
    <row r="800" ht="14.5" x14ac:dyDescent="0.35"/>
    <row r="801" ht="14.5" x14ac:dyDescent="0.35"/>
    <row r="802" ht="14.5" x14ac:dyDescent="0.35"/>
    <row r="803" ht="14.5" x14ac:dyDescent="0.35"/>
    <row r="804" ht="14.5" x14ac:dyDescent="0.35"/>
    <row r="805" ht="14.5" x14ac:dyDescent="0.35"/>
    <row r="806" ht="14.5" x14ac:dyDescent="0.35"/>
    <row r="807" ht="14.5" x14ac:dyDescent="0.35"/>
    <row r="808" ht="14.5" x14ac:dyDescent="0.35"/>
    <row r="809" ht="14.5" x14ac:dyDescent="0.35"/>
    <row r="810" ht="14.5" x14ac:dyDescent="0.35"/>
    <row r="811" ht="14.5" x14ac:dyDescent="0.35"/>
    <row r="812" ht="14.5" x14ac:dyDescent="0.35"/>
    <row r="813" ht="14.5" x14ac:dyDescent="0.35"/>
    <row r="814" ht="14.5" x14ac:dyDescent="0.35"/>
    <row r="815" ht="14.5" x14ac:dyDescent="0.35"/>
    <row r="816" ht="14.5" x14ac:dyDescent="0.35"/>
    <row r="817" ht="14.5" x14ac:dyDescent="0.35"/>
    <row r="818" ht="14.5" x14ac:dyDescent="0.35"/>
    <row r="819" ht="14.5" x14ac:dyDescent="0.35"/>
    <row r="820" ht="14.5" x14ac:dyDescent="0.35"/>
    <row r="821" ht="14.5" x14ac:dyDescent="0.35"/>
    <row r="822" ht="14.5" x14ac:dyDescent="0.35"/>
    <row r="823" ht="14.5" x14ac:dyDescent="0.35"/>
    <row r="824" ht="14.5" x14ac:dyDescent="0.35"/>
    <row r="825" ht="14.5" x14ac:dyDescent="0.35"/>
    <row r="826" ht="14.5" x14ac:dyDescent="0.35"/>
    <row r="827" ht="14.5" x14ac:dyDescent="0.35"/>
    <row r="828" ht="14.5" x14ac:dyDescent="0.35"/>
    <row r="829" ht="14.5" x14ac:dyDescent="0.35"/>
    <row r="830" ht="14.5" x14ac:dyDescent="0.35"/>
    <row r="831" ht="14.5" x14ac:dyDescent="0.35"/>
    <row r="832" ht="14.5" x14ac:dyDescent="0.35"/>
    <row r="833" ht="14.5" x14ac:dyDescent="0.35"/>
    <row r="834" ht="14.5" x14ac:dyDescent="0.35"/>
    <row r="835" ht="14.5" x14ac:dyDescent="0.35"/>
    <row r="836" ht="14.5" x14ac:dyDescent="0.35"/>
    <row r="837" ht="14.5" x14ac:dyDescent="0.35"/>
    <row r="838" ht="14.5" x14ac:dyDescent="0.35"/>
    <row r="839" ht="14.5" x14ac:dyDescent="0.35"/>
    <row r="840" ht="14.5" x14ac:dyDescent="0.35"/>
    <row r="841" ht="14.5" x14ac:dyDescent="0.35"/>
    <row r="842" ht="14.5" x14ac:dyDescent="0.35"/>
    <row r="843" ht="14.5" x14ac:dyDescent="0.35"/>
    <row r="844" ht="14.5" x14ac:dyDescent="0.35"/>
    <row r="845" ht="14.5" x14ac:dyDescent="0.35"/>
    <row r="846" ht="14.5" x14ac:dyDescent="0.35"/>
    <row r="847" ht="14.5" x14ac:dyDescent="0.35"/>
    <row r="848" ht="14.5" x14ac:dyDescent="0.35"/>
    <row r="849" ht="14.5" x14ac:dyDescent="0.35"/>
    <row r="850" ht="14.5" x14ac:dyDescent="0.35"/>
    <row r="851" ht="14.5" x14ac:dyDescent="0.35"/>
    <row r="852" ht="14.5" x14ac:dyDescent="0.35"/>
    <row r="853" ht="14.5" x14ac:dyDescent="0.35"/>
    <row r="854" ht="14.5" x14ac:dyDescent="0.35"/>
    <row r="855" ht="14.5" x14ac:dyDescent="0.35"/>
    <row r="856" ht="14.5" x14ac:dyDescent="0.35"/>
    <row r="857" ht="14.5" x14ac:dyDescent="0.35"/>
    <row r="858" ht="14.5" x14ac:dyDescent="0.35"/>
    <row r="859" ht="14.5" x14ac:dyDescent="0.35"/>
    <row r="860" ht="14.5" x14ac:dyDescent="0.35"/>
    <row r="861" ht="14.5" x14ac:dyDescent="0.35"/>
    <row r="862" ht="14.5" x14ac:dyDescent="0.35"/>
    <row r="863" ht="14.5" x14ac:dyDescent="0.35"/>
    <row r="864" ht="14.5" x14ac:dyDescent="0.35"/>
    <row r="865" ht="14.5" x14ac:dyDescent="0.35"/>
    <row r="866" ht="14.5" x14ac:dyDescent="0.35"/>
    <row r="867" ht="14.5" x14ac:dyDescent="0.35"/>
    <row r="868" ht="14.5" x14ac:dyDescent="0.35"/>
    <row r="869" ht="14.5" x14ac:dyDescent="0.35"/>
    <row r="870" ht="14.5" x14ac:dyDescent="0.35"/>
    <row r="871" ht="14.5" x14ac:dyDescent="0.35"/>
    <row r="872" ht="14.5" x14ac:dyDescent="0.35"/>
    <row r="873" ht="14.5" x14ac:dyDescent="0.35"/>
    <row r="874" ht="14.5" x14ac:dyDescent="0.35"/>
    <row r="875" ht="14.5" x14ac:dyDescent="0.35"/>
    <row r="876" ht="14.5" x14ac:dyDescent="0.35"/>
    <row r="877" ht="14.5" x14ac:dyDescent="0.35"/>
    <row r="878" ht="14.5" x14ac:dyDescent="0.35"/>
    <row r="879" ht="14.5" x14ac:dyDescent="0.35"/>
    <row r="880" ht="14.5" x14ac:dyDescent="0.35"/>
    <row r="881" ht="14.5" x14ac:dyDescent="0.35"/>
    <row r="882" ht="14.5" x14ac:dyDescent="0.35"/>
    <row r="883" ht="14.5" x14ac:dyDescent="0.35"/>
    <row r="884" ht="14.5" x14ac:dyDescent="0.35"/>
    <row r="885" ht="14.5" x14ac:dyDescent="0.35"/>
    <row r="886" ht="14.5" x14ac:dyDescent="0.35"/>
    <row r="887" ht="14.5" x14ac:dyDescent="0.35"/>
    <row r="888" ht="14.5" x14ac:dyDescent="0.35"/>
    <row r="889" ht="14.5" x14ac:dyDescent="0.35"/>
    <row r="890" ht="14.5" x14ac:dyDescent="0.35"/>
    <row r="891" ht="14.5" x14ac:dyDescent="0.35"/>
    <row r="892" ht="14.5" x14ac:dyDescent="0.35"/>
    <row r="893" ht="14.5" x14ac:dyDescent="0.35"/>
    <row r="894" ht="14.5" x14ac:dyDescent="0.35"/>
    <row r="895" ht="14.5" x14ac:dyDescent="0.35"/>
    <row r="896" ht="14.5" x14ac:dyDescent="0.35"/>
    <row r="897" ht="14.5" x14ac:dyDescent="0.35"/>
    <row r="898" ht="14.5" x14ac:dyDescent="0.35"/>
    <row r="899" ht="14.5" x14ac:dyDescent="0.35"/>
    <row r="900" ht="14.5" x14ac:dyDescent="0.35"/>
    <row r="901" ht="14.5" x14ac:dyDescent="0.35"/>
    <row r="902" ht="14.5" x14ac:dyDescent="0.35"/>
    <row r="903" ht="14.5" x14ac:dyDescent="0.35"/>
    <row r="904" ht="14.5" x14ac:dyDescent="0.35"/>
    <row r="905" ht="14.5" x14ac:dyDescent="0.35"/>
    <row r="906" ht="14.5" x14ac:dyDescent="0.35"/>
    <row r="907" ht="14.5" x14ac:dyDescent="0.35"/>
    <row r="908" ht="14.5" x14ac:dyDescent="0.35"/>
    <row r="909" ht="14.5" x14ac:dyDescent="0.35"/>
    <row r="910" ht="14.5" x14ac:dyDescent="0.35"/>
    <row r="911" ht="14.5" x14ac:dyDescent="0.35"/>
    <row r="912" ht="14.5" x14ac:dyDescent="0.35"/>
    <row r="913" ht="14.5" x14ac:dyDescent="0.35"/>
    <row r="914" ht="14.5" x14ac:dyDescent="0.35"/>
    <row r="915" ht="14.5" x14ac:dyDescent="0.35"/>
    <row r="916" ht="14.5" x14ac:dyDescent="0.35"/>
    <row r="917" ht="14.5" x14ac:dyDescent="0.35"/>
    <row r="918" ht="14.5" x14ac:dyDescent="0.35"/>
    <row r="919" ht="14.5" x14ac:dyDescent="0.35"/>
    <row r="920" ht="14.5" x14ac:dyDescent="0.35"/>
    <row r="921" ht="14.5" x14ac:dyDescent="0.35"/>
    <row r="922" ht="14.5" x14ac:dyDescent="0.35"/>
    <row r="923" ht="14.5" x14ac:dyDescent="0.35"/>
    <row r="924" ht="14.5" x14ac:dyDescent="0.35"/>
    <row r="925" ht="14.5" x14ac:dyDescent="0.35"/>
    <row r="926" ht="14.5" x14ac:dyDescent="0.35"/>
    <row r="927" ht="14.5" x14ac:dyDescent="0.35"/>
    <row r="928" ht="14.5" x14ac:dyDescent="0.35"/>
    <row r="929" ht="14.5" x14ac:dyDescent="0.35"/>
    <row r="930" ht="14.5" x14ac:dyDescent="0.35"/>
    <row r="931" ht="14.5" x14ac:dyDescent="0.35"/>
    <row r="932" ht="14.5" x14ac:dyDescent="0.35"/>
    <row r="933" ht="14.5" x14ac:dyDescent="0.35"/>
    <row r="934" ht="14.5" x14ac:dyDescent="0.35"/>
    <row r="935" ht="14.5" x14ac:dyDescent="0.35"/>
    <row r="936" ht="14.5" x14ac:dyDescent="0.35"/>
    <row r="937" ht="14.5" x14ac:dyDescent="0.35"/>
    <row r="938" ht="14.5" x14ac:dyDescent="0.35"/>
    <row r="939" ht="14.5" x14ac:dyDescent="0.35"/>
    <row r="940" ht="14.5" x14ac:dyDescent="0.35"/>
    <row r="941" ht="14.5" x14ac:dyDescent="0.35"/>
    <row r="942" ht="14.5" x14ac:dyDescent="0.35"/>
    <row r="943" ht="14.5" x14ac:dyDescent="0.35"/>
    <row r="944" ht="14.5" x14ac:dyDescent="0.35"/>
    <row r="945" ht="14.5" x14ac:dyDescent="0.35"/>
    <row r="946" ht="14.5" x14ac:dyDescent="0.35"/>
    <row r="947" ht="14.5" x14ac:dyDescent="0.35"/>
    <row r="948" ht="14.5" x14ac:dyDescent="0.35"/>
    <row r="949" ht="14.5" x14ac:dyDescent="0.35"/>
    <row r="950" ht="14.5" x14ac:dyDescent="0.35"/>
    <row r="951" ht="14.5" x14ac:dyDescent="0.35"/>
    <row r="952" ht="14.5" x14ac:dyDescent="0.35"/>
    <row r="953" ht="14.5" x14ac:dyDescent="0.35"/>
    <row r="954" ht="14.5" x14ac:dyDescent="0.35"/>
    <row r="955" ht="14.5" x14ac:dyDescent="0.35"/>
    <row r="956" ht="14.5" x14ac:dyDescent="0.35"/>
    <row r="957" ht="14.5" x14ac:dyDescent="0.35"/>
    <row r="958" ht="14.5" x14ac:dyDescent="0.35"/>
    <row r="959" ht="14.5" x14ac:dyDescent="0.35"/>
    <row r="960" ht="14.5" x14ac:dyDescent="0.35"/>
    <row r="961" ht="14.5" x14ac:dyDescent="0.35"/>
    <row r="962" ht="14.5" x14ac:dyDescent="0.35"/>
    <row r="963" ht="14.5" x14ac:dyDescent="0.35"/>
    <row r="964" ht="14.5" x14ac:dyDescent="0.35"/>
    <row r="965" ht="14.5" x14ac:dyDescent="0.35"/>
    <row r="966" ht="14.5" x14ac:dyDescent="0.35"/>
    <row r="967" ht="14.5" x14ac:dyDescent="0.35"/>
    <row r="968" ht="14.5" x14ac:dyDescent="0.35"/>
    <row r="969" ht="14.5" x14ac:dyDescent="0.35"/>
    <row r="970" ht="14.5" x14ac:dyDescent="0.35"/>
    <row r="971" ht="14.5" x14ac:dyDescent="0.35"/>
    <row r="972" ht="14.5" x14ac:dyDescent="0.35"/>
    <row r="973" ht="14.5" x14ac:dyDescent="0.35"/>
    <row r="974" ht="14.5" x14ac:dyDescent="0.35"/>
    <row r="975" ht="14.5" x14ac:dyDescent="0.35"/>
    <row r="976" ht="14.5" x14ac:dyDescent="0.35"/>
    <row r="977" ht="14.5" x14ac:dyDescent="0.35"/>
    <row r="978" ht="14.5" x14ac:dyDescent="0.35"/>
    <row r="979" ht="14.5" x14ac:dyDescent="0.35"/>
    <row r="980" ht="14.5" x14ac:dyDescent="0.35"/>
    <row r="981" ht="14.5" x14ac:dyDescent="0.35"/>
    <row r="982" ht="14.5" x14ac:dyDescent="0.35"/>
    <row r="983" ht="14.5" x14ac:dyDescent="0.35"/>
    <row r="984" ht="14.5" x14ac:dyDescent="0.35"/>
    <row r="985" ht="14.5" x14ac:dyDescent="0.35"/>
    <row r="986" ht="14.5" x14ac:dyDescent="0.35"/>
    <row r="987" ht="14.5" x14ac:dyDescent="0.35"/>
    <row r="988" ht="14.5" x14ac:dyDescent="0.35"/>
    <row r="989" ht="14.5" x14ac:dyDescent="0.35"/>
    <row r="990" ht="14.5" x14ac:dyDescent="0.35"/>
    <row r="991" ht="14.5" x14ac:dyDescent="0.35"/>
    <row r="992" ht="14.5" x14ac:dyDescent="0.35"/>
    <row r="993" ht="14.5" x14ac:dyDescent="0.35"/>
    <row r="994" ht="14.5" x14ac:dyDescent="0.35"/>
    <row r="995" ht="14.5" x14ac:dyDescent="0.35"/>
    <row r="996" ht="14.5" x14ac:dyDescent="0.35"/>
    <row r="997" ht="14.5" x14ac:dyDescent="0.35"/>
    <row r="998" ht="14.5" x14ac:dyDescent="0.35"/>
    <row r="999" ht="14.5" x14ac:dyDescent="0.35"/>
    <row r="1000" ht="14.5" x14ac:dyDescent="0.35"/>
  </sheetData>
  <mergeCells count="1">
    <mergeCell ref="AU1:AV1"/>
  </mergeCells>
  <dataValidations count="3">
    <dataValidation type="list" allowBlank="1" showInputMessage="1" showErrorMessage="1" sqref="BB4" xr:uid="{00000000-0002-0000-0800-000000000000}">
      <formula1>INDIRECT(BA4)</formula1>
    </dataValidation>
    <dataValidation type="list" allowBlank="1" showInputMessage="1" showErrorMessage="1" sqref="BA4" xr:uid="{00000000-0002-0000-0800-000001000000}">
      <formula1>$AT$4:$AT$13</formula1>
    </dataValidation>
    <dataValidation type="list" allowBlank="1" showInputMessage="1" showErrorMessage="1" sqref="AR15:AS15" xr:uid="{00000000-0002-0000-0800-000002000000}">
      <formula1>IF($AQ$15="density",#REF!,IF($AQ$15="particle size",#REF!))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Metadata/LabelInfo.xml><?xml version="1.0" encoding="utf-8"?>
<clbl:labelList xmlns:clbl="http://schemas.microsoft.com/office/2020/mipLabelMetadata">
  <clbl:label id="{7a7758e5-5493-4008-81bb-d0ebd0becd8a}" enabled="0" method="" siteId="{7a7758e5-5493-4008-81bb-d0ebd0becd8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metadata</vt:lpstr>
      <vt:lpstr>site</vt:lpstr>
      <vt:lpstr>profile</vt:lpstr>
      <vt:lpstr>flux</vt:lpstr>
      <vt:lpstr>layer</vt:lpstr>
      <vt:lpstr>interstitial</vt:lpstr>
      <vt:lpstr>fraction</vt:lpstr>
      <vt:lpstr>incubation</vt:lpstr>
      <vt:lpstr>controlled vocabulary</vt:lpstr>
      <vt:lpstr>AgA</vt:lpstr>
      <vt:lpstr>AgP</vt:lpstr>
      <vt:lpstr>ChA</vt:lpstr>
      <vt:lpstr>ChP</vt:lpstr>
      <vt:lpstr>CoA</vt:lpstr>
      <vt:lpstr>CoP</vt:lpstr>
      <vt:lpstr>DeA</vt:lpstr>
      <vt:lpstr>DeP</vt:lpstr>
      <vt:lpstr>Fractionation_Scheme</vt:lpstr>
      <vt:lpstr>i_moisture_type</vt:lpstr>
      <vt:lpstr>PaA</vt:lpstr>
      <vt:lpstr>PaP</vt:lpstr>
      <vt:lpstr>PhA</vt:lpstr>
      <vt:lpstr>PhP</vt:lpstr>
      <vt:lpstr>ThA</vt:lpstr>
      <vt:lpstr>ThP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</dc:creator>
  <cp:lastModifiedBy>Sophie von Fromm</cp:lastModifiedBy>
  <dcterms:created xsi:type="dcterms:W3CDTF">2017-05-04T18:45:36Z</dcterms:created>
  <dcterms:modified xsi:type="dcterms:W3CDTF">2025-11-17T20:35:56Z</dcterms:modified>
</cp:coreProperties>
</file>